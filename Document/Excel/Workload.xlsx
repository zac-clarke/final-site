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drawings/drawing1.xml" ContentType="application/vnd.openxmlformats-officedocument.drawing+xml"/>
  <Override PartName="/xl/tables/table13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Johnabbott\Foundations of Web Development\Final\Excel\"/>
    </mc:Choice>
  </mc:AlternateContent>
  <xr:revisionPtr revIDLastSave="0" documentId="13_ncr:1_{C75F6325-2D98-43AF-8F06-DA99DB030FE7}" xr6:coauthVersionLast="47" xr6:coauthVersionMax="47" xr10:uidLastSave="{00000000-0000-0000-0000-000000000000}"/>
  <bookViews>
    <workbookView xWindow="-38520" yWindow="-120" windowWidth="38640" windowHeight="21840" activeTab="4" xr2:uid="{2698E3B9-EB8D-4273-AA68-BC3B08924BD1}"/>
  </bookViews>
  <sheets>
    <sheet name="Website" sheetId="1" r:id="rId1"/>
    <sheet name="Excel" sheetId="2" r:id="rId2"/>
    <sheet name="Visio" sheetId="3" r:id="rId3"/>
    <sheet name="PowerPoint" sheetId="5" r:id="rId4"/>
    <sheet name="Total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12" i="1" l="1"/>
  <c r="G13" i="1"/>
  <c r="G11" i="1"/>
  <c r="G14" i="1"/>
  <c r="G10" i="1"/>
  <c r="G15" i="1"/>
  <c r="G6" i="2"/>
  <c r="E10" i="4"/>
  <c r="F10" i="4"/>
  <c r="C15" i="2"/>
  <c r="D5" i="4" s="1"/>
  <c r="C16" i="2"/>
  <c r="D6" i="4" s="1"/>
  <c r="C17" i="2"/>
  <c r="D7" i="4" s="1"/>
  <c r="C18" i="2"/>
  <c r="D8" i="4" s="1"/>
  <c r="C19" i="2"/>
  <c r="D9" i="4" s="1"/>
  <c r="F5" i="4"/>
  <c r="F6" i="4"/>
  <c r="F7" i="4"/>
  <c r="F8" i="4"/>
  <c r="F9" i="4"/>
  <c r="E5" i="4"/>
  <c r="E6" i="4"/>
  <c r="E7" i="4"/>
  <c r="E8" i="4"/>
  <c r="E9" i="4"/>
  <c r="C15" i="5"/>
  <c r="C16" i="5"/>
  <c r="C17" i="5"/>
  <c r="C18" i="5"/>
  <c r="C19" i="5"/>
  <c r="C15" i="3"/>
  <c r="C16" i="3"/>
  <c r="C17" i="3"/>
  <c r="C18" i="3"/>
  <c r="C19" i="3"/>
  <c r="C20" i="1"/>
  <c r="C5" i="4" s="1"/>
  <c r="C21" i="1"/>
  <c r="C6" i="4" s="1"/>
  <c r="C22" i="1"/>
  <c r="C7" i="4" s="1"/>
  <c r="C23" i="1"/>
  <c r="C8" i="4" s="1"/>
  <c r="C24" i="1"/>
  <c r="C9" i="4" s="1"/>
  <c r="G9" i="1"/>
  <c r="G5" i="1"/>
  <c r="G6" i="1"/>
  <c r="G7" i="1"/>
  <c r="G8" i="1"/>
  <c r="G7" i="3"/>
  <c r="G8" i="3"/>
  <c r="G9" i="3"/>
  <c r="G7" i="2"/>
  <c r="G8" i="2"/>
  <c r="G9" i="2"/>
  <c r="G10" i="2"/>
  <c r="G6" i="5"/>
  <c r="G7" i="5"/>
  <c r="G8" i="5"/>
  <c r="G9" i="5"/>
  <c r="G6" i="3"/>
  <c r="G5" i="5"/>
  <c r="G5" i="3"/>
  <c r="G5" i="2"/>
  <c r="C10" i="4" l="1"/>
  <c r="D10" i="4"/>
  <c r="G9" i="4"/>
  <c r="G8" i="4"/>
  <c r="G5" i="4"/>
  <c r="G6" i="4"/>
  <c r="G7" i="4"/>
</calcChain>
</file>

<file path=xl/sharedStrings.xml><?xml version="1.0" encoding="utf-8"?>
<sst xmlns="http://schemas.openxmlformats.org/spreadsheetml/2006/main" count="141" uniqueCount="41">
  <si>
    <t>Amirhossein</t>
    <phoneticPr fontId="1" type="noConversion"/>
  </si>
  <si>
    <t>Curtis</t>
    <phoneticPr fontId="1" type="noConversion"/>
  </si>
  <si>
    <t>Zachary</t>
    <phoneticPr fontId="1" type="noConversion"/>
  </si>
  <si>
    <t>Gang</t>
    <phoneticPr fontId="1" type="noConversion"/>
  </si>
  <si>
    <t>Jingyu</t>
    <phoneticPr fontId="1" type="noConversion"/>
  </si>
  <si>
    <t>Monday</t>
    <phoneticPr fontId="1" type="noConversion"/>
  </si>
  <si>
    <t>Day</t>
    <phoneticPr fontId="1" type="noConversion"/>
  </si>
  <si>
    <t>Done-did List</t>
    <phoneticPr fontId="1" type="noConversion"/>
  </si>
  <si>
    <t>Name</t>
    <phoneticPr fontId="1" type="noConversion"/>
  </si>
  <si>
    <t>Time To</t>
    <phoneticPr fontId="1" type="noConversion"/>
  </si>
  <si>
    <t>Time From</t>
    <phoneticPr fontId="1" type="noConversion"/>
  </si>
  <si>
    <t>Working Hours</t>
    <phoneticPr fontId="1" type="noConversion"/>
  </si>
  <si>
    <t>Project planning and discussion</t>
  </si>
  <si>
    <t>Excel</t>
    <phoneticPr fontId="1" type="noConversion"/>
  </si>
  <si>
    <t>Visio</t>
    <phoneticPr fontId="1" type="noConversion"/>
  </si>
  <si>
    <t>Website</t>
    <phoneticPr fontId="1" type="noConversion"/>
  </si>
  <si>
    <t>PowerPoint</t>
    <phoneticPr fontId="1" type="noConversion"/>
  </si>
  <si>
    <t>Total</t>
    <phoneticPr fontId="1" type="noConversion"/>
  </si>
  <si>
    <t>Total Working Hours</t>
    <phoneticPr fontId="1" type="noConversion"/>
  </si>
  <si>
    <t>Select a cell and insert table row above</t>
    <phoneticPr fontId="1" type="noConversion"/>
  </si>
  <si>
    <t>Fill down each cell</t>
    <phoneticPr fontId="1" type="noConversion"/>
  </si>
  <si>
    <t>Guide</t>
    <phoneticPr fontId="1" type="noConversion"/>
  </si>
  <si>
    <t>Enter the 24-hour time.(ex:15:00)</t>
    <phoneticPr fontId="1" type="noConversion"/>
  </si>
  <si>
    <t>On Working Hour cell, Changing the Format cells from General to Time</t>
    <phoneticPr fontId="1" type="noConversion"/>
  </si>
  <si>
    <t>Work time per item</t>
    <phoneticPr fontId="1" type="noConversion"/>
  </si>
  <si>
    <t>Making Workload excel file</t>
    <phoneticPr fontId="1" type="noConversion"/>
  </si>
  <si>
    <t>Add doughnut chart and data</t>
    <phoneticPr fontId="1" type="noConversion"/>
  </si>
  <si>
    <t xml:space="preserve"> </t>
    <phoneticPr fontId="1" type="noConversion"/>
  </si>
  <si>
    <t>Tuesday</t>
  </si>
  <si>
    <t>Jingyu</t>
  </si>
  <si>
    <t>Monday</t>
  </si>
  <si>
    <t>Build contact page</t>
  </si>
  <si>
    <t>Fix contact page style</t>
  </si>
  <si>
    <t>Amirhossein</t>
  </si>
  <si>
    <t>Build skills page</t>
  </si>
  <si>
    <t>Curtis</t>
  </si>
  <si>
    <t>Build education page</t>
  </si>
  <si>
    <t>Zachary</t>
  </si>
  <si>
    <t>Build index page</t>
  </si>
  <si>
    <t>Gang</t>
  </si>
  <si>
    <t>Build work experience page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</si>
</sst>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[$-409]h:mm\ AM/PM;@"/>
    <numFmt numFmtId="177" formatCode="h:mm;@"/>
  </numFmts>
  <fonts count="5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Microsoft JhengHei"/>
      <family val="2"/>
      <charset val="136"/>
    </font>
    <font>
      <sz val="11"/>
      <color theme="1"/>
      <name val="Microsoft JhengHei"/>
      <family val="2"/>
      <charset val="136"/>
    </font>
    <font>
      <sz val="11"/>
      <color rgb="FF000000"/>
      <name val="Microsoft JhengHei"/>
      <family val="2"/>
    </font>
  </fonts>
  <fills count="4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A6A6A6"/>
        <bgColor rgb="FFA6A6A6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77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76" fontId="3" fillId="0" borderId="0" xfId="0" applyNumberFormat="1" applyFont="1" applyAlignment="1">
      <alignment horizontal="center" vertical="center"/>
    </xf>
    <xf numFmtId="0" fontId="3" fillId="0" borderId="0" xfId="0" applyFont="1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8" fontId="4" fillId="2" borderId="0" xfId="0" applyNumberFormat="1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18" fontId="4" fillId="3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72">
    <dxf>
      <font>
        <strike val="0"/>
        <outline val="0"/>
        <shadow val="0"/>
        <u val="none"/>
        <vertAlign val="baseline"/>
        <sz val="11"/>
        <color theme="1"/>
        <name val="Microsoft JhengHei"/>
        <family val="2"/>
        <charset val="136"/>
        <scheme val="none"/>
      </font>
      <numFmt numFmtId="177" formatCode="h:mm;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Microsoft JhengHei"/>
        <family val="2"/>
        <charset val="136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Microsoft JhengHei"/>
        <family val="2"/>
        <charset val="136"/>
        <scheme val="none"/>
      </font>
      <numFmt numFmtId="177" formatCode="h:mm;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Microsoft JhengHei"/>
        <family val="2"/>
        <charset val="136"/>
        <scheme val="none"/>
      </font>
      <numFmt numFmtId="177" formatCode="h:mm;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Microsoft JhengHei"/>
        <family val="2"/>
        <charset val="136"/>
        <scheme val="none"/>
      </font>
      <numFmt numFmtId="177" formatCode="h:mm;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Microsoft JhengHei"/>
        <family val="2"/>
        <charset val="136"/>
        <scheme val="none"/>
      </font>
      <numFmt numFmtId="177" formatCode="h:mm;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Microsoft JhengHei"/>
        <family val="2"/>
        <charset val="136"/>
        <scheme val="none"/>
      </font>
      <numFmt numFmtId="177" formatCode="h:mm;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Microsoft JhengHei"/>
        <family val="2"/>
        <charset val="136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Microsoft JhengHei"/>
        <family val="2"/>
        <charset val="136"/>
        <scheme val="none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theme="1"/>
        <name val="Microsoft JhengHei"/>
        <family val="2"/>
        <charset val="136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icrosoft JhengHei"/>
        <family val="2"/>
        <charset val="136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Microsoft JhengHei"/>
        <family val="2"/>
        <charset val="136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Microsoft JhengHei"/>
        <family val="2"/>
        <charset val="136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Microsoft JhengHei"/>
        <family val="2"/>
        <charset val="136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Microsoft JhengHei"/>
        <family val="2"/>
        <charset val="136"/>
        <scheme val="none"/>
      </font>
      <numFmt numFmtId="177" formatCode="h:mm;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Microsoft JhengHei"/>
        <family val="2"/>
        <charset val="136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Microsoft JhengHei"/>
        <family val="2"/>
        <charset val="136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Microsoft JhengHei"/>
        <family val="2"/>
        <charset val="136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Microsoft JhengHei"/>
        <family val="2"/>
        <charset val="136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Microsoft JhengHei"/>
        <family val="2"/>
        <charset val="136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Microsoft JhengHei"/>
        <family val="2"/>
        <charset val="136"/>
        <scheme val="none"/>
      </font>
      <numFmt numFmtId="176" formatCode="[$-409]h:mm\ AM/PM;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Microsoft JhengHei"/>
        <family val="2"/>
        <charset val="136"/>
        <scheme val="none"/>
      </font>
      <numFmt numFmtId="176" formatCode="[$-409]h:mm\ AM/PM;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Microsoft JhengHei"/>
        <family val="2"/>
        <charset val="136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Microsoft JhengHei"/>
        <family val="2"/>
        <charset val="136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Microsoft JhengHei"/>
        <family val="2"/>
        <charset val="136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Microsoft JhengHei"/>
        <family val="2"/>
        <charset val="136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icrosoft JhengHei"/>
        <family val="2"/>
        <charset val="136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Microsoft JhengHei"/>
        <family val="2"/>
        <charset val="136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Microsoft JhengHei"/>
        <family val="2"/>
        <charset val="136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Microsoft JhengHei"/>
        <family val="2"/>
        <charset val="136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Microsoft JhengHei"/>
        <family val="2"/>
        <charset val="136"/>
        <scheme val="none"/>
      </font>
      <numFmt numFmtId="177" formatCode="h:mm;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Microsoft JhengHei"/>
        <family val="2"/>
        <charset val="136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Microsoft JhengHei"/>
        <family val="2"/>
        <charset val="136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Microsoft JhengHei"/>
        <family val="2"/>
        <charset val="136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Microsoft JhengHei"/>
        <family val="2"/>
        <charset val="136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Microsoft JhengHei"/>
        <family val="2"/>
        <charset val="136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Microsoft JhengHei"/>
        <family val="2"/>
        <charset val="136"/>
        <scheme val="none"/>
      </font>
      <numFmt numFmtId="176" formatCode="[$-409]h:mm\ AM/PM;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Microsoft JhengHei"/>
        <family val="2"/>
        <charset val="136"/>
        <scheme val="none"/>
      </font>
      <numFmt numFmtId="176" formatCode="[$-409]h:mm\ AM/PM;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Microsoft JhengHei"/>
        <family val="2"/>
        <charset val="136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Microsoft JhengHei"/>
        <family val="2"/>
        <charset val="136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Microsoft JhengHei"/>
        <family val="2"/>
        <charset val="136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Microsoft JhengHei"/>
        <family val="2"/>
        <charset val="136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icrosoft JhengHei"/>
        <family val="2"/>
        <charset val="136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Microsoft JhengHei"/>
        <family val="2"/>
        <charset val="136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Microsoft JhengHei"/>
        <family val="2"/>
        <charset val="136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Microsoft JhengHei"/>
        <family val="2"/>
        <charset val="136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Microsoft JhengHei"/>
        <family val="2"/>
        <charset val="136"/>
        <scheme val="none"/>
      </font>
      <numFmt numFmtId="177" formatCode="h:mm;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Microsoft JhengHei"/>
        <family val="2"/>
        <charset val="136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Microsoft JhengHei"/>
        <family val="2"/>
        <charset val="136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Microsoft JhengHei"/>
        <family val="2"/>
        <charset val="136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Microsoft JhengHei"/>
        <family val="2"/>
        <charset val="136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Microsoft JhengHei"/>
        <family val="2"/>
        <charset val="136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Microsoft JhengHei"/>
        <family val="2"/>
        <charset val="136"/>
        <scheme val="none"/>
      </font>
      <numFmt numFmtId="176" formatCode="[$-409]h:mm\ AM/PM;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Microsoft JhengHei"/>
        <family val="2"/>
        <charset val="136"/>
        <scheme val="none"/>
      </font>
      <numFmt numFmtId="176" formatCode="[$-409]h:mm\ AM/PM;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Microsoft JhengHei"/>
        <family val="2"/>
        <charset val="136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Microsoft JhengHei"/>
        <family val="2"/>
        <charset val="136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Microsoft JhengHei"/>
        <family val="2"/>
        <charset val="136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Microsoft JhengHei"/>
        <family val="2"/>
        <charset val="136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icrosoft JhengHei"/>
        <family val="2"/>
        <charset val="136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Microsoft JhengHei"/>
        <family val="2"/>
        <charset val="136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Microsoft JhengHei"/>
        <family val="2"/>
        <charset val="136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Microsoft JhengHei"/>
        <family val="2"/>
        <charset val="136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Microsoft JhengHei"/>
        <family val="2"/>
        <charset val="136"/>
        <scheme val="none"/>
      </font>
      <numFmt numFmtId="177" formatCode="h:mm;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Microsoft JhengHei"/>
        <family val="2"/>
        <charset val="136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Microsoft JhengHei"/>
        <family val="2"/>
        <charset val="136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Microsoft JhengHei"/>
        <family val="2"/>
        <charset val="136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Microsoft JhengHei"/>
        <family val="2"/>
        <charset val="136"/>
        <scheme val="none"/>
      </font>
      <numFmt numFmtId="176" formatCode="[$-409]h:mm\ AM/PM;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Microsoft JhengHei"/>
        <family val="2"/>
        <charset val="136"/>
        <scheme val="none"/>
      </font>
      <numFmt numFmtId="176" formatCode="[$-409]h:mm\ AM/PM;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Microsoft JhengHei"/>
        <family val="2"/>
        <charset val="136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Microsoft JhengHei"/>
        <family val="2"/>
        <charset val="136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Microsoft JhengHei"/>
        <family val="2"/>
        <charset val="136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Microsoft JhengHei"/>
        <family val="2"/>
        <charset val="136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 altLang="ko-KR"/>
              <a:t>Working</a:t>
            </a:r>
            <a:r>
              <a:rPr lang="en-CA" altLang="ko-KR" baseline="0"/>
              <a:t> Hours</a:t>
            </a:r>
            <a:endParaRPr lang="en-CA" altLang="ko-K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Total!$C$4</c:f>
              <c:strCache>
                <c:ptCount val="1"/>
                <c:pt idx="0">
                  <c:v>Website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Total!$B$5:$B$10</c15:sqref>
                  </c15:fullRef>
                </c:ext>
              </c:extLst>
              <c:f>Total!$B$5:$B$9</c:f>
              <c:strCache>
                <c:ptCount val="5"/>
                <c:pt idx="0">
                  <c:v>Jingyu</c:v>
                </c:pt>
                <c:pt idx="1">
                  <c:v>Amirhossein</c:v>
                </c:pt>
                <c:pt idx="2">
                  <c:v>Curtis</c:v>
                </c:pt>
                <c:pt idx="3">
                  <c:v>Zachary</c:v>
                </c:pt>
                <c:pt idx="4">
                  <c:v>Gang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Total!$C$5:$C$10</c15:sqref>
                  </c15:fullRef>
                </c:ext>
              </c:extLst>
              <c:f>Total!$C$5:$C$9</c:f>
              <c:numCache>
                <c:formatCode>h:mm;@</c:formatCode>
                <c:ptCount val="5"/>
                <c:pt idx="0">
                  <c:v>0.24999999999999989</c:v>
                </c:pt>
                <c:pt idx="1">
                  <c:v>0.16666666666666663</c:v>
                </c:pt>
                <c:pt idx="2">
                  <c:v>0.16666666666666696</c:v>
                </c:pt>
                <c:pt idx="3">
                  <c:v>0.16666666666666696</c:v>
                </c:pt>
                <c:pt idx="4">
                  <c:v>0.16666666666666696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22-4F4E-8B43-C8DCB098B9D5}"/>
            </c:ext>
          </c:extLst>
        </c:ser>
        <c:ser>
          <c:idx val="1"/>
          <c:order val="1"/>
          <c:tx>
            <c:strRef>
              <c:f>Total!$D$4</c:f>
              <c:strCache>
                <c:ptCount val="1"/>
                <c:pt idx="0">
                  <c:v>Excel</c:v>
                </c:pt>
              </c:strCache>
            </c:strRef>
          </c:tx>
          <c:spPr>
            <a:solidFill>
              <a:schemeClr val="accent6"/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Total!$B$5:$B$10</c15:sqref>
                  </c15:fullRef>
                </c:ext>
              </c:extLst>
              <c:f>Total!$B$5:$B$9</c:f>
              <c:strCache>
                <c:ptCount val="5"/>
                <c:pt idx="0">
                  <c:v>Jingyu</c:v>
                </c:pt>
                <c:pt idx="1">
                  <c:v>Amirhossein</c:v>
                </c:pt>
                <c:pt idx="2">
                  <c:v>Curtis</c:v>
                </c:pt>
                <c:pt idx="3">
                  <c:v>Zachary</c:v>
                </c:pt>
                <c:pt idx="4">
                  <c:v>Gang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Total!$D$5:$D$10</c15:sqref>
                  </c15:fullRef>
                </c:ext>
              </c:extLst>
              <c:f>Total!$D$5:$D$9</c:f>
              <c:numCache>
                <c:formatCode>h:mm;@</c:formatCode>
                <c:ptCount val="5"/>
                <c:pt idx="0">
                  <c:v>0.14583333333333337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222-4F4E-8B43-C8DCB098B9D5}"/>
            </c:ext>
          </c:extLst>
        </c:ser>
        <c:ser>
          <c:idx val="2"/>
          <c:order val="2"/>
          <c:tx>
            <c:strRef>
              <c:f>Total!$E$4</c:f>
              <c:strCache>
                <c:ptCount val="1"/>
                <c:pt idx="0">
                  <c:v>Visio</c:v>
                </c:pt>
              </c:strCache>
            </c:strRef>
          </c:tx>
          <c:spPr>
            <a:solidFill>
              <a:schemeClr val="accent5"/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Total!$B$5:$B$10</c15:sqref>
                  </c15:fullRef>
                </c:ext>
              </c:extLst>
              <c:f>Total!$B$5:$B$9</c:f>
              <c:strCache>
                <c:ptCount val="5"/>
                <c:pt idx="0">
                  <c:v>Jingyu</c:v>
                </c:pt>
                <c:pt idx="1">
                  <c:v>Amirhossein</c:v>
                </c:pt>
                <c:pt idx="2">
                  <c:v>Curtis</c:v>
                </c:pt>
                <c:pt idx="3">
                  <c:v>Zachary</c:v>
                </c:pt>
                <c:pt idx="4">
                  <c:v>Gang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Total!$E$5:$E$10</c15:sqref>
                  </c15:fullRef>
                </c:ext>
              </c:extLst>
              <c:f>Total!$E$5:$E$9</c:f>
              <c:numCache>
                <c:formatCode>h:mm;@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222-4F4E-8B43-C8DCB098B9D5}"/>
            </c:ext>
          </c:extLst>
        </c:ser>
        <c:ser>
          <c:idx val="3"/>
          <c:order val="3"/>
          <c:tx>
            <c:strRef>
              <c:f>Total!$F$4</c:f>
              <c:strCache>
                <c:ptCount val="1"/>
                <c:pt idx="0">
                  <c:v>PowerPoint</c:v>
                </c:pt>
              </c:strCache>
            </c:strRef>
          </c:tx>
          <c:spPr>
            <a:solidFill>
              <a:schemeClr val="accent2"/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Total!$B$5:$B$10</c15:sqref>
                  </c15:fullRef>
                </c:ext>
              </c:extLst>
              <c:f>Total!$B$5:$B$9</c:f>
              <c:strCache>
                <c:ptCount val="5"/>
                <c:pt idx="0">
                  <c:v>Jingyu</c:v>
                </c:pt>
                <c:pt idx="1">
                  <c:v>Amirhossein</c:v>
                </c:pt>
                <c:pt idx="2">
                  <c:v>Curtis</c:v>
                </c:pt>
                <c:pt idx="3">
                  <c:v>Zachary</c:v>
                </c:pt>
                <c:pt idx="4">
                  <c:v>Gang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Total!$F$5:$F$10</c15:sqref>
                  </c15:fullRef>
                </c:ext>
              </c:extLst>
              <c:f>Total!$F$5:$F$9</c:f>
              <c:numCache>
                <c:formatCode>h:mm;@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222-4F4E-8B43-C8DCB098B9D5}"/>
            </c:ext>
          </c:extLst>
        </c:ser>
        <c:ser>
          <c:idx val="4"/>
          <c:order val="4"/>
          <c:tx>
            <c:strRef>
              <c:f>Total!$G$4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7030A0"/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Total!$B$5:$B$10</c15:sqref>
                  </c15:fullRef>
                </c:ext>
              </c:extLst>
              <c:f>Total!$B$5:$B$9</c:f>
              <c:strCache>
                <c:ptCount val="5"/>
                <c:pt idx="0">
                  <c:v>Jingyu</c:v>
                </c:pt>
                <c:pt idx="1">
                  <c:v>Amirhossein</c:v>
                </c:pt>
                <c:pt idx="2">
                  <c:v>Curtis</c:v>
                </c:pt>
                <c:pt idx="3">
                  <c:v>Zachary</c:v>
                </c:pt>
                <c:pt idx="4">
                  <c:v>Gang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Total!$G$5:$G$10</c15:sqref>
                  </c15:fullRef>
                </c:ext>
              </c:extLst>
              <c:f>Total!$G$5:$G$9</c:f>
              <c:numCache>
                <c:formatCode>h:mm;@</c:formatCode>
                <c:ptCount val="5"/>
                <c:pt idx="0">
                  <c:v>0.39583333333333326</c:v>
                </c:pt>
                <c:pt idx="1">
                  <c:v>0.16666666666666663</c:v>
                </c:pt>
                <c:pt idx="2">
                  <c:v>0.16666666666666696</c:v>
                </c:pt>
                <c:pt idx="3">
                  <c:v>0.16666666666666696</c:v>
                </c:pt>
                <c:pt idx="4">
                  <c:v>0.16666666666666696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222-4F4E-8B43-C8DCB098B9D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595597744"/>
        <c:axId val="1595609808"/>
      </c:barChart>
      <c:catAx>
        <c:axId val="159559774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95609808"/>
        <c:crosses val="autoZero"/>
        <c:auto val="1"/>
        <c:lblAlgn val="ctr"/>
        <c:lblOffset val="100"/>
        <c:noMultiLvlLbl val="0"/>
      </c:catAx>
      <c:valAx>
        <c:axId val="1595609808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h:mm;@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95597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90706044015966"/>
          <c:y val="0.1804399970836979"/>
          <c:w val="0.75960629921259848"/>
          <c:h val="0.75474518810148727"/>
        </c:manualLayout>
      </c:layout>
      <c:pie3DChart>
        <c:varyColors val="1"/>
        <c:ser>
          <c:idx val="5"/>
          <c:order val="5"/>
          <c:tx>
            <c:strRef>
              <c:f>Total!$B$10</c:f>
              <c:strCache>
                <c:ptCount val="1"/>
                <c:pt idx="0">
                  <c:v>Work time per item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9-971E-4B1A-A7D4-F5889553D37B}"/>
              </c:ext>
            </c:extLst>
          </c:dPt>
          <c:dPt>
            <c:idx val="1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A-971E-4B1A-A7D4-F5889553D37B}"/>
              </c:ext>
            </c:extLst>
          </c:dPt>
          <c:dPt>
            <c:idx val="2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B-971E-4B1A-A7D4-F5889553D37B}"/>
              </c:ext>
            </c:extLst>
          </c:dPt>
          <c:dPt>
            <c:idx val="3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C-971E-4B1A-A7D4-F5889553D37B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Total!$C$4:$F$4</c:f>
              <c:strCache>
                <c:ptCount val="4"/>
                <c:pt idx="0">
                  <c:v>Website</c:v>
                </c:pt>
                <c:pt idx="1">
                  <c:v>Excel</c:v>
                </c:pt>
                <c:pt idx="2">
                  <c:v>Visio</c:v>
                </c:pt>
                <c:pt idx="3">
                  <c:v>PowerPoint</c:v>
                </c:pt>
              </c:strCache>
            </c:strRef>
          </c:cat>
          <c:val>
            <c:numRef>
              <c:f>Total!$C$10:$F$10</c:f>
              <c:numCache>
                <c:formatCode>h:mm;@</c:formatCode>
                <c:ptCount val="4"/>
                <c:pt idx="0">
                  <c:v>0.91666666666666741</c:v>
                </c:pt>
                <c:pt idx="1">
                  <c:v>0.14583333333333337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71E-4B1A-A7D4-F5889553D37B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extLst>
          <c:ext xmlns:c15="http://schemas.microsoft.com/office/drawing/2012/chart" uri="{02D57815-91ED-43cb-92C2-25804820EDAC}">
            <c15:filteredPi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Total!$B$5</c15:sqref>
                        </c15:formulaRef>
                      </c:ext>
                    </c:extLst>
                    <c:strCache>
                      <c:ptCount val="1"/>
                      <c:pt idx="0">
                        <c:v>Jingyu</c:v>
                      </c:pt>
                    </c:strCache>
                  </c:strRef>
                </c:tx>
                <c:dPt>
                  <c:idx val="0"/>
                  <c:bubble3D val="0"/>
                  <c:spPr>
                    <a:solidFill>
                      <a:schemeClr val="accent1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  <a:sp3d/>
                  </c:spPr>
                  <c:extLst>
                    <c:ext xmlns:c16="http://schemas.microsoft.com/office/drawing/2014/chart" uri="{C3380CC4-5D6E-409C-BE32-E72D297353CC}">
                      <c16:uniqueId val="{00000009-1E19-41DF-83E3-75127CA9A0C7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accent2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  <a:sp3d/>
                  </c:spPr>
                  <c:extLst>
                    <c:ext xmlns:c16="http://schemas.microsoft.com/office/drawing/2014/chart" uri="{C3380CC4-5D6E-409C-BE32-E72D297353CC}">
                      <c16:uniqueId val="{0000000B-1E19-41DF-83E3-75127CA9A0C7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accent3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  <a:sp3d/>
                  </c:spPr>
                  <c:extLst>
                    <c:ext xmlns:c16="http://schemas.microsoft.com/office/drawing/2014/chart" uri="{C3380CC4-5D6E-409C-BE32-E72D297353CC}">
                      <c16:uniqueId val="{0000000D-1E19-41DF-83E3-75127CA9A0C7}"/>
                    </c:ext>
                  </c:extLst>
                </c:dPt>
                <c:dPt>
                  <c:idx val="3"/>
                  <c:bubble3D val="0"/>
                  <c:spPr>
                    <a:solidFill>
                      <a:schemeClr val="accent4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  <a:sp3d/>
                  </c:spPr>
                  <c:extLst>
                    <c:ext xmlns:c16="http://schemas.microsoft.com/office/drawing/2014/chart" uri="{C3380CC4-5D6E-409C-BE32-E72D297353CC}">
                      <c16:uniqueId val="{0000000F-1E19-41DF-83E3-75127CA9A0C7}"/>
                    </c:ext>
                  </c:extLst>
                </c:dPt>
                <c:dLbls>
                  <c:spPr>
                    <a:pattFill prst="pct75">
                      <a:fgClr>
                        <a:schemeClr val="dk1">
                          <a:lumMod val="75000"/>
                          <a:lumOff val="25000"/>
                        </a:schemeClr>
                      </a:fgClr>
                      <a:bgClr>
                        <a:schemeClr val="dk1">
                          <a:lumMod val="65000"/>
                          <a:lumOff val="35000"/>
                        </a:schemeClr>
                      </a:bgClr>
                    </a:pattFill>
                    <a:ln>
                      <a:noFill/>
                    </a:ln>
                    <a:effectLst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ko-KR"/>
                    </a:p>
                  </c:txPr>
                  <c:dLblPos val="ctr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dk1">
                            <a:lumMod val="50000"/>
                            <a:lumOff val="50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Total!$C$4:$F$4</c15:sqref>
                        </c15:formulaRef>
                      </c:ext>
                    </c:extLst>
                    <c:strCache>
                      <c:ptCount val="4"/>
                      <c:pt idx="0">
                        <c:v>Website</c:v>
                      </c:pt>
                      <c:pt idx="1">
                        <c:v>Excel</c:v>
                      </c:pt>
                      <c:pt idx="2">
                        <c:v>Visio</c:v>
                      </c:pt>
                      <c:pt idx="3">
                        <c:v>PowerPoint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Total!$C$5:$F$5</c15:sqref>
                        </c15:formulaRef>
                      </c:ext>
                    </c:extLst>
                    <c:numCache>
                      <c:formatCode>h:mm;@</c:formatCode>
                      <c:ptCount val="4"/>
                      <c:pt idx="0">
                        <c:v>0.24999999999999989</c:v>
                      </c:pt>
                      <c:pt idx="1">
                        <c:v>0.14583333333333337</c:v>
                      </c:pt>
                      <c:pt idx="2">
                        <c:v>0</c:v>
                      </c:pt>
                      <c:pt idx="3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971E-4B1A-A7D4-F5889553D37B}"/>
                  </c:ext>
                </c:extLst>
              </c15:ser>
            </c15:filteredPieSeries>
            <c15:filteredPi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Total!$B$6</c15:sqref>
                        </c15:formulaRef>
                      </c:ext>
                    </c:extLst>
                    <c:strCache>
                      <c:ptCount val="1"/>
                      <c:pt idx="0">
                        <c:v>Amirhossein</c:v>
                      </c:pt>
                    </c:strCache>
                  </c:strRef>
                </c:tx>
                <c:dPt>
                  <c:idx val="0"/>
                  <c:bubble3D val="0"/>
                  <c:spPr>
                    <a:solidFill>
                      <a:schemeClr val="accent1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  <a:sp3d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1-1E19-41DF-83E3-75127CA9A0C7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accent2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  <a:sp3d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3-1E19-41DF-83E3-75127CA9A0C7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accent3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  <a:sp3d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5-1E19-41DF-83E3-75127CA9A0C7}"/>
                    </c:ext>
                  </c:extLst>
                </c:dPt>
                <c:dPt>
                  <c:idx val="3"/>
                  <c:bubble3D val="0"/>
                  <c:spPr>
                    <a:solidFill>
                      <a:schemeClr val="accent4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  <a:sp3d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7-1E19-41DF-83E3-75127CA9A0C7}"/>
                    </c:ext>
                  </c:extLst>
                </c:dPt>
                <c:dLbls>
                  <c:spPr>
                    <a:pattFill prst="pct75">
                      <a:fgClr>
                        <a:schemeClr val="dk1">
                          <a:lumMod val="75000"/>
                          <a:lumOff val="25000"/>
                        </a:schemeClr>
                      </a:fgClr>
                      <a:bgClr>
                        <a:schemeClr val="dk1">
                          <a:lumMod val="65000"/>
                          <a:lumOff val="35000"/>
                        </a:schemeClr>
                      </a:bgClr>
                    </a:pattFill>
                    <a:ln>
                      <a:noFill/>
                    </a:ln>
                    <a:effectLst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ko-KR"/>
                    </a:p>
                  </c:txPr>
                  <c:dLblPos val="ctr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dk1">
                            <a:lumMod val="50000"/>
                            <a:lumOff val="50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Total!$C$4:$F$4</c15:sqref>
                        </c15:formulaRef>
                      </c:ext>
                    </c:extLst>
                    <c:strCache>
                      <c:ptCount val="4"/>
                      <c:pt idx="0">
                        <c:v>Website</c:v>
                      </c:pt>
                      <c:pt idx="1">
                        <c:v>Excel</c:v>
                      </c:pt>
                      <c:pt idx="2">
                        <c:v>Visio</c:v>
                      </c:pt>
                      <c:pt idx="3">
                        <c:v>PowerPoint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Total!$C$6:$F$6</c15:sqref>
                        </c15:formulaRef>
                      </c:ext>
                    </c:extLst>
                    <c:numCache>
                      <c:formatCode>h:mm;@</c:formatCode>
                      <c:ptCount val="4"/>
                      <c:pt idx="0">
                        <c:v>0.16666666666666663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971E-4B1A-A7D4-F5889553D37B}"/>
                  </c:ext>
                </c:extLst>
              </c15:ser>
            </c15:filteredPieSeries>
            <c15:filteredPi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Total!$B$7</c15:sqref>
                        </c15:formulaRef>
                      </c:ext>
                    </c:extLst>
                    <c:strCache>
                      <c:ptCount val="1"/>
                      <c:pt idx="0">
                        <c:v>Curtis</c:v>
                      </c:pt>
                    </c:strCache>
                  </c:strRef>
                </c:tx>
                <c:dPt>
                  <c:idx val="0"/>
                  <c:bubble3D val="0"/>
                  <c:spPr>
                    <a:solidFill>
                      <a:schemeClr val="accent1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  <a:sp3d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9-1E19-41DF-83E3-75127CA9A0C7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accent2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  <a:sp3d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B-1E19-41DF-83E3-75127CA9A0C7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accent3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  <a:sp3d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D-1E19-41DF-83E3-75127CA9A0C7}"/>
                    </c:ext>
                  </c:extLst>
                </c:dPt>
                <c:dPt>
                  <c:idx val="3"/>
                  <c:bubble3D val="0"/>
                  <c:spPr>
                    <a:solidFill>
                      <a:schemeClr val="accent4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  <a:sp3d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F-1E19-41DF-83E3-75127CA9A0C7}"/>
                    </c:ext>
                  </c:extLst>
                </c:dPt>
                <c:dLbls>
                  <c:spPr>
                    <a:pattFill prst="pct75">
                      <a:fgClr>
                        <a:schemeClr val="dk1">
                          <a:lumMod val="75000"/>
                          <a:lumOff val="25000"/>
                        </a:schemeClr>
                      </a:fgClr>
                      <a:bgClr>
                        <a:schemeClr val="dk1">
                          <a:lumMod val="65000"/>
                          <a:lumOff val="35000"/>
                        </a:schemeClr>
                      </a:bgClr>
                    </a:pattFill>
                    <a:ln>
                      <a:noFill/>
                    </a:ln>
                    <a:effectLst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ko-KR"/>
                    </a:p>
                  </c:txPr>
                  <c:dLblPos val="ctr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dk1">
                            <a:lumMod val="50000"/>
                            <a:lumOff val="50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Total!$C$4:$F$4</c15:sqref>
                        </c15:formulaRef>
                      </c:ext>
                    </c:extLst>
                    <c:strCache>
                      <c:ptCount val="4"/>
                      <c:pt idx="0">
                        <c:v>Website</c:v>
                      </c:pt>
                      <c:pt idx="1">
                        <c:v>Excel</c:v>
                      </c:pt>
                      <c:pt idx="2">
                        <c:v>Visio</c:v>
                      </c:pt>
                      <c:pt idx="3">
                        <c:v>PowerPoint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Total!$C$7:$F$7</c15:sqref>
                        </c15:formulaRef>
                      </c:ext>
                    </c:extLst>
                    <c:numCache>
                      <c:formatCode>h:mm;@</c:formatCode>
                      <c:ptCount val="4"/>
                      <c:pt idx="0">
                        <c:v>0.16666666666666696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971E-4B1A-A7D4-F5889553D37B}"/>
                  </c:ext>
                </c:extLst>
              </c15:ser>
            </c15:filteredPieSeries>
            <c15:filteredPi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Total!$B$8</c15:sqref>
                        </c15:formulaRef>
                      </c:ext>
                    </c:extLst>
                    <c:strCache>
                      <c:ptCount val="1"/>
                      <c:pt idx="0">
                        <c:v>Zachary</c:v>
                      </c:pt>
                    </c:strCache>
                  </c:strRef>
                </c:tx>
                <c:dPt>
                  <c:idx val="0"/>
                  <c:bubble3D val="0"/>
                  <c:spPr>
                    <a:solidFill>
                      <a:schemeClr val="accent1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  <a:sp3d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1-1E19-41DF-83E3-75127CA9A0C7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accent2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  <a:sp3d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3-1E19-41DF-83E3-75127CA9A0C7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accent3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  <a:sp3d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5-1E19-41DF-83E3-75127CA9A0C7}"/>
                    </c:ext>
                  </c:extLst>
                </c:dPt>
                <c:dPt>
                  <c:idx val="3"/>
                  <c:bubble3D val="0"/>
                  <c:spPr>
                    <a:solidFill>
                      <a:schemeClr val="accent4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  <a:sp3d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7-1E19-41DF-83E3-75127CA9A0C7}"/>
                    </c:ext>
                  </c:extLst>
                </c:dPt>
                <c:dLbls>
                  <c:spPr>
                    <a:pattFill prst="pct75">
                      <a:fgClr>
                        <a:schemeClr val="dk1">
                          <a:lumMod val="75000"/>
                          <a:lumOff val="25000"/>
                        </a:schemeClr>
                      </a:fgClr>
                      <a:bgClr>
                        <a:schemeClr val="dk1">
                          <a:lumMod val="65000"/>
                          <a:lumOff val="35000"/>
                        </a:schemeClr>
                      </a:bgClr>
                    </a:pattFill>
                    <a:ln>
                      <a:noFill/>
                    </a:ln>
                    <a:effectLst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ko-KR"/>
                    </a:p>
                  </c:txPr>
                  <c:dLblPos val="ctr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dk1">
                            <a:lumMod val="50000"/>
                            <a:lumOff val="50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Total!$C$4:$F$4</c15:sqref>
                        </c15:formulaRef>
                      </c:ext>
                    </c:extLst>
                    <c:strCache>
                      <c:ptCount val="4"/>
                      <c:pt idx="0">
                        <c:v>Website</c:v>
                      </c:pt>
                      <c:pt idx="1">
                        <c:v>Excel</c:v>
                      </c:pt>
                      <c:pt idx="2">
                        <c:v>Visio</c:v>
                      </c:pt>
                      <c:pt idx="3">
                        <c:v>PowerPoint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Total!$C$8:$F$8</c15:sqref>
                        </c15:formulaRef>
                      </c:ext>
                    </c:extLst>
                    <c:numCache>
                      <c:formatCode>h:mm;@</c:formatCode>
                      <c:ptCount val="4"/>
                      <c:pt idx="0">
                        <c:v>0.16666666666666696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971E-4B1A-A7D4-F5889553D37B}"/>
                  </c:ext>
                </c:extLst>
              </c15:ser>
            </c15:filteredPieSeries>
            <c15:filteredPi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Total!$B$9</c15:sqref>
                        </c15:formulaRef>
                      </c:ext>
                    </c:extLst>
                    <c:strCache>
                      <c:ptCount val="1"/>
                      <c:pt idx="0">
                        <c:v>Gang</c:v>
                      </c:pt>
                    </c:strCache>
                  </c:strRef>
                </c:tx>
                <c:dPt>
                  <c:idx val="0"/>
                  <c:bubble3D val="0"/>
                  <c:spPr>
                    <a:solidFill>
                      <a:schemeClr val="accent1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  <a:sp3d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9-1E19-41DF-83E3-75127CA9A0C7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accent2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  <a:sp3d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B-1E19-41DF-83E3-75127CA9A0C7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accent3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  <a:sp3d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D-1E19-41DF-83E3-75127CA9A0C7}"/>
                    </c:ext>
                  </c:extLst>
                </c:dPt>
                <c:dPt>
                  <c:idx val="3"/>
                  <c:bubble3D val="0"/>
                  <c:spPr>
                    <a:solidFill>
                      <a:schemeClr val="accent4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  <a:sp3d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F-1E19-41DF-83E3-75127CA9A0C7}"/>
                    </c:ext>
                  </c:extLst>
                </c:dPt>
                <c:dLbls>
                  <c:spPr>
                    <a:pattFill prst="pct75">
                      <a:fgClr>
                        <a:schemeClr val="dk1">
                          <a:lumMod val="75000"/>
                          <a:lumOff val="25000"/>
                        </a:schemeClr>
                      </a:fgClr>
                      <a:bgClr>
                        <a:schemeClr val="dk1">
                          <a:lumMod val="65000"/>
                          <a:lumOff val="35000"/>
                        </a:schemeClr>
                      </a:bgClr>
                    </a:pattFill>
                    <a:ln>
                      <a:noFill/>
                    </a:ln>
                    <a:effectLst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ko-KR"/>
                    </a:p>
                  </c:txPr>
                  <c:dLblPos val="ctr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dk1">
                            <a:lumMod val="50000"/>
                            <a:lumOff val="50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Total!$C$4:$F$4</c15:sqref>
                        </c15:formulaRef>
                      </c:ext>
                    </c:extLst>
                    <c:strCache>
                      <c:ptCount val="4"/>
                      <c:pt idx="0">
                        <c:v>Website</c:v>
                      </c:pt>
                      <c:pt idx="1">
                        <c:v>Excel</c:v>
                      </c:pt>
                      <c:pt idx="2">
                        <c:v>Visio</c:v>
                      </c:pt>
                      <c:pt idx="3">
                        <c:v>PowerPoint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Total!$C$9:$F$9</c15:sqref>
                        </c15:formulaRef>
                      </c:ext>
                    </c:extLst>
                    <c:numCache>
                      <c:formatCode>h:mm;@</c:formatCode>
                      <c:ptCount val="4"/>
                      <c:pt idx="0">
                        <c:v>0.16666666666666696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971E-4B1A-A7D4-F5889553D37B}"/>
                  </c:ext>
                </c:extLst>
              </c15:ser>
            </c15:filteredPieSeries>
          </c:ext>
        </c:extLst>
      </c:pie3D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4761</xdr:colOff>
      <xdr:row>11</xdr:row>
      <xdr:rowOff>57149</xdr:rowOff>
    </xdr:from>
    <xdr:to>
      <xdr:col>6</xdr:col>
      <xdr:colOff>1181099</xdr:colOff>
      <xdr:row>29</xdr:row>
      <xdr:rowOff>180974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CCF9685-2F56-494C-B15A-AD21724F16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30</xdr:row>
      <xdr:rowOff>104775</xdr:rowOff>
    </xdr:from>
    <xdr:to>
      <xdr:col>7</xdr:col>
      <xdr:colOff>0</xdr:colOff>
      <xdr:row>43</xdr:row>
      <xdr:rowOff>123825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64A8B3D-729F-4C0D-8576-7EB62F69F3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4DFBBB0-15C0-437F-A43C-A6D30E724103}" name="Table36" displayName="Table36" ref="B4:G15" totalsRowShown="0" headerRowDxfId="71" dataDxfId="70">
  <tableColumns count="6">
    <tableColumn id="1" xr3:uid="{4FF63DDC-38DC-4950-9FFA-C658A2242C1E}" name="Name" dataDxfId="69"/>
    <tableColumn id="2" xr3:uid="{5565C589-08D0-48C5-8EBB-4A29ED28B891}" name="Day" dataDxfId="68"/>
    <tableColumn id="3" xr3:uid="{9BFB82D3-37B3-4483-8A50-CC21067A7300}" name="Time From" dataDxfId="67"/>
    <tableColumn id="6" xr3:uid="{63CB6D46-3CD7-48D7-83DD-9643995D4B29}" name="Time To" dataDxfId="66"/>
    <tableColumn id="4" xr3:uid="{B44ED379-7346-422E-9710-B5C12E228807}" name="Done-did List" dataDxfId="1"/>
    <tableColumn id="5" xr3:uid="{6133B534-68EE-4330-94BC-400587B929F7}" name="Working Hours" dataDxfId="0">
      <calculatedColumnFormula>Table36[[#This Row],[Time To]]-Table36[[#This Row],[Time From]]</calculatedColumnFormula>
    </tableColumn>
  </tableColumns>
  <tableStyleInfo name="TableStyleMedium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071136B-A854-4EB4-818C-08848CEFA9FC}" name="Table9" displayName="Table9" ref="B19:C24" totalsRowShown="0" headerRowDxfId="65" dataDxfId="64">
  <tableColumns count="2">
    <tableColumn id="1" xr3:uid="{E085770F-4597-479D-A2CA-4E8593451943}" name="Name" dataDxfId="63"/>
    <tableColumn id="2" xr3:uid="{A5D804C1-8994-4DD8-957F-581EC9883821}" name="Total Working Hours" dataDxfId="62">
      <calculatedColumnFormula>SUMIF(Table36[Name],Table9[[#This Row],[Name]],Table36[Working Hours])</calculatedColumnFormula>
    </tableColumn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6619976-3F59-4A60-9910-6843595D42A9}" name="Table14" displayName="Table14" ref="E19:F23" totalsRowShown="0" headerRowDxfId="61" dataDxfId="60">
  <tableColumns count="2">
    <tableColumn id="1" xr3:uid="{8B55B91E-0844-4026-8438-BAF85C2D8C8D}" name=" " dataDxfId="59"/>
    <tableColumn id="2" xr3:uid="{0038FC7D-BE89-45CB-9CAB-8B1449BE209B}" name="Guide" dataDxfId="58"/>
  </tableColumns>
  <tableStyleInfo name="TableStyleLight2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A926FC-8A31-4A31-826E-AFCD13480640}" name="Table3" displayName="Table3" ref="B4:G10" totalsRowShown="0" headerRowDxfId="57" dataDxfId="56">
  <tableColumns count="6">
    <tableColumn id="1" xr3:uid="{F16044F3-86A6-4DF4-9033-3F17817DCC4B}" name="Name" dataDxfId="55"/>
    <tableColumn id="2" xr3:uid="{2C678640-BBE2-4D42-97DB-0A83780A7968}" name="Day" dataDxfId="54"/>
    <tableColumn id="3" xr3:uid="{8D3C830D-4AE8-4B11-86EC-87BBF7DCD404}" name="Time From" dataDxfId="53"/>
    <tableColumn id="6" xr3:uid="{8011A58A-C10B-41DE-BABC-08BD451ADD4F}" name="Time To" dataDxfId="52"/>
    <tableColumn id="4" xr3:uid="{7999F230-81A7-47D6-9010-A9F977DFCB2D}" name="Done-did List" dataDxfId="51"/>
    <tableColumn id="5" xr3:uid="{41D126AC-373B-448B-81DC-D28AFEF1A477}" name="Working Hours" dataDxfId="50">
      <calculatedColumnFormula>Table3[[#This Row],[Time To]]-Table3[[#This Row],[Time From]]</calculatedColumnFormula>
    </tableColumn>
  </tableColumns>
  <tableStyleInfo name="TableStyleMedium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FB18222-9D84-495B-84DE-94DDFF23ACC0}" name="Table911" displayName="Table911" ref="B14:C19" totalsRowShown="0" headerRowDxfId="49" dataDxfId="48">
  <tableColumns count="2">
    <tableColumn id="1" xr3:uid="{051C59E1-D23C-4E6D-B681-3CB45A1A7D03}" name="Name" dataDxfId="47"/>
    <tableColumn id="2" xr3:uid="{289CB891-D263-466C-A19B-2800F991BBF4}" name="Total Working Hours" dataDxfId="46">
      <calculatedColumnFormula>SUMIF(Table3[Name],Table911[[#This Row],[Name]],Table3[Working Hours])</calculatedColumnFormula>
    </tableColumn>
  </tableColumns>
  <tableStyleInfo name="TableStyleMedium2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E1FE337D-CFB1-42F8-AB00-2D2DA65C6CAB}" name="Table1416" displayName="Table1416" ref="E14:F18" totalsRowShown="0" headerRowDxfId="45" dataDxfId="44">
  <tableColumns count="2">
    <tableColumn id="1" xr3:uid="{003BF8E2-0A8F-4B26-A352-8771FE1C69A4}" name=" " dataDxfId="43"/>
    <tableColumn id="2" xr3:uid="{9F9E2F0C-FD31-4040-8A8D-88A7A9C99343}" name="Guide" dataDxfId="42"/>
  </tableColumns>
  <tableStyleInfo name="TableStyleLight20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3E4CEBB-D4D4-41D3-9A53-1ED11E9B627B}" name="Table37" displayName="Table37" ref="B4:G9" totalsRowShown="0" headerRowDxfId="41" dataDxfId="40">
  <tableColumns count="6">
    <tableColumn id="1" xr3:uid="{FA76DB21-5CEB-4561-A50A-5270DE8B2D78}" name="Name" dataDxfId="39"/>
    <tableColumn id="2" xr3:uid="{8592289F-94D5-4BFD-B47F-F4D40CFC9C93}" name="Day" dataDxfId="38"/>
    <tableColumn id="3" xr3:uid="{ABA512C5-E96D-407D-B7B4-387F0ABE7521}" name="Time From" dataDxfId="37"/>
    <tableColumn id="6" xr3:uid="{86DC1AEB-2799-4F83-8E62-D0969425995F}" name="Time To" dataDxfId="36"/>
    <tableColumn id="4" xr3:uid="{30C2FAAD-AEA9-4DC8-9FCB-CA7050AC8440}" name="Done-did List" dataDxfId="35"/>
    <tableColumn id="5" xr3:uid="{B8E7C65F-A466-4489-B401-18B1D7CCD2EC}" name="Working Hours" dataDxfId="34">
      <calculatedColumnFormula>Table37[[#This Row],[Time To]]-Table37[[#This Row],[Time From]]</calculatedColumnFormula>
    </tableColumn>
  </tableColumns>
  <tableStyleInfo name="TableStyleMedium1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E3694367-665E-4067-AC0A-D9AB10B21359}" name="Table91112" displayName="Table91112" ref="B14:C19" totalsRowShown="0" headerRowDxfId="33" dataDxfId="32">
  <tableColumns count="2">
    <tableColumn id="1" xr3:uid="{474DB110-6033-4EB0-BF83-8C782E2A7D16}" name="Name" dataDxfId="31"/>
    <tableColumn id="2" xr3:uid="{2DD88F13-354A-4EB5-8D44-6082B315C71A}" name="Total Working Hours" dataDxfId="30">
      <calculatedColumnFormula>SUMIF(Table37[Name],Table91112[[#This Row],[Name]],Table37[Working Hours])</calculatedColumnFormula>
    </tableColumn>
  </tableColumns>
  <tableStyleInfo name="TableStyleMedium20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A64A400-8DBC-48CD-BEC8-F5B915DFD794}" name="Table1417" displayName="Table1417" ref="E14:F18" totalsRowShown="0" headerRowDxfId="29" dataDxfId="28">
  <tableColumns count="2">
    <tableColumn id="1" xr3:uid="{02F935DC-1E7C-43FE-B1B9-D12A7BDCAECF}" name=" " dataDxfId="27"/>
    <tableColumn id="2" xr3:uid="{1E2C6714-7F71-4158-BA19-64F23FB20AC4}" name="Guide" dataDxfId="26"/>
  </tableColumns>
  <tableStyleInfo name="TableStyleLight20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FAC9EA3-3D64-4821-8E50-EC4DFA6538D7}" name="Table38" displayName="Table38" ref="B4:G9" totalsRowShown="0" headerRowDxfId="25" dataDxfId="24">
  <tableColumns count="6">
    <tableColumn id="1" xr3:uid="{D89757DB-5109-49B1-8BC3-0800BBA5BF50}" name="Name" dataDxfId="23"/>
    <tableColumn id="2" xr3:uid="{CE89F506-2510-47D5-BC85-21EE31514603}" name="Day" dataDxfId="22"/>
    <tableColumn id="3" xr3:uid="{83F32809-E1B9-4844-9824-11EFA1CD45B9}" name="Time From" dataDxfId="21"/>
    <tableColumn id="6" xr3:uid="{BC15FCC6-9CF7-49A9-9E4C-EED06C9ADF04}" name="Time To" dataDxfId="20"/>
    <tableColumn id="4" xr3:uid="{4EEB6D36-E0A9-449E-B6E3-3DE9B10FC817}" name="Done-did List" dataDxfId="19"/>
    <tableColumn id="5" xr3:uid="{ADA2FA8E-DF0D-4E38-A375-7F6203140943}" name="Working Hours" dataDxfId="18">
      <calculatedColumnFormula>Table38[[#This Row],[Time To]]-Table38[[#This Row],[Time From]]</calculatedColumnFormula>
    </tableColumn>
  </tableColumns>
  <tableStyleInfo name="TableStyleMedium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B44AD29-486E-4872-B193-BD6554D4A56F}" name="Table91113" displayName="Table91113" ref="B14:C19" totalsRowShown="0" headerRowDxfId="17" dataDxfId="16">
  <tableColumns count="2">
    <tableColumn id="1" xr3:uid="{ED41A83B-795C-44D0-AC8B-4443A2613C54}" name="Name" dataDxfId="15"/>
    <tableColumn id="2" xr3:uid="{E83CE485-2720-4165-A001-04865B93C396}" name="Total Working Hours" dataDxfId="14">
      <calculatedColumnFormula>SUMIF(Table38[Name],Table91113[[#This Row],[Name]],Table38[Working Hours])</calculatedColumnFormula>
    </tableColumn>
  </tableColumns>
  <tableStyleInfo name="TableStyleMedium1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BD83CE2-0B11-48C5-881B-BD62B714CD2F}" name="Table1418" displayName="Table1418" ref="E14:F18" totalsRowShown="0" headerRowDxfId="13" dataDxfId="12">
  <tableColumns count="2">
    <tableColumn id="1" xr3:uid="{A27ED87C-405D-4BFA-98E2-762E493B761C}" name=" " dataDxfId="11"/>
    <tableColumn id="2" xr3:uid="{5869B490-53FF-4DDF-9F51-B5F0E3079872}" name="Guide" dataDxfId="10"/>
  </tableColumns>
  <tableStyleInfo name="TableStyleLight20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8B6927A-BEE8-460A-B1B9-0F467B3130C9}" name="Table8" displayName="Table8" ref="B4:G10" totalsRowShown="0" headerRowDxfId="9" dataDxfId="8">
  <tableColumns count="6">
    <tableColumn id="1" xr3:uid="{17BA44CF-2B52-4B6A-B8E2-5B5FE75F1E5B}" name="Name" dataDxfId="7"/>
    <tableColumn id="2" xr3:uid="{C3A5014F-337C-43B5-852E-39A6A1E1D67C}" name="Website" dataDxfId="6">
      <calculatedColumnFormula>Website!C20</calculatedColumnFormula>
    </tableColumn>
    <tableColumn id="3" xr3:uid="{0A80EB1D-ED24-4AA0-A583-18C1BF4FAB3D}" name="Excel" dataDxfId="5">
      <calculatedColumnFormula>Excel!C15</calculatedColumnFormula>
    </tableColumn>
    <tableColumn id="4" xr3:uid="{7CD4809C-28AB-40C1-BB8C-A1394526B695}" name="Visio" dataDxfId="4">
      <calculatedColumnFormula>Visio!C15</calculatedColumnFormula>
    </tableColumn>
    <tableColumn id="5" xr3:uid="{38BF2D6F-33ED-46B0-828F-DA80B7E1D28B}" name="PowerPoint" dataDxfId="3">
      <calculatedColumnFormula>PowerPoint!C15</calculatedColumnFormula>
    </tableColumn>
    <tableColumn id="6" xr3:uid="{99A324B2-3C05-489A-A345-D49881AD2F99}" name="Total" dataDxfId="2">
      <calculatedColumnFormula>SUM(Table8[[#This Row],[Website]:[PowerPoint]])</calculatedColumnFormula>
    </tableColumn>
  </tableColumns>
  <tableStyleInfo name="TableStyleMedium1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F32C0-C671-4E95-9E79-7690065E2BE6}">
  <dimension ref="B3:G24"/>
  <sheetViews>
    <sheetView workbookViewId="0">
      <selection activeCell="I12" sqref="I12"/>
    </sheetView>
  </sheetViews>
  <sheetFormatPr defaultRowHeight="15"/>
  <cols>
    <col min="1" max="1" width="9" style="7"/>
    <col min="2" max="2" width="12.5" style="7" customWidth="1"/>
    <col min="3" max="3" width="11.875" style="7" customWidth="1"/>
    <col min="4" max="5" width="13.625" style="7" customWidth="1"/>
    <col min="6" max="6" width="35.625" style="7" customWidth="1"/>
    <col min="7" max="7" width="13.25" style="7" bestFit="1" customWidth="1"/>
    <col min="8" max="16384" width="9" style="7"/>
  </cols>
  <sheetData>
    <row r="3" spans="2:7">
      <c r="B3" s="10"/>
      <c r="C3" s="10"/>
      <c r="D3" s="10"/>
      <c r="E3" s="10"/>
      <c r="F3" s="10"/>
      <c r="G3" s="10"/>
    </row>
    <row r="4" spans="2:7" ht="30">
      <c r="B4" s="3" t="s">
        <v>8</v>
      </c>
      <c r="C4" s="3" t="s">
        <v>6</v>
      </c>
      <c r="D4" s="3" t="s">
        <v>10</v>
      </c>
      <c r="E4" s="3" t="s">
        <v>9</v>
      </c>
      <c r="F4" s="3" t="s">
        <v>7</v>
      </c>
      <c r="G4" s="5" t="s">
        <v>11</v>
      </c>
    </row>
    <row r="5" spans="2:7">
      <c r="B5" s="3" t="s">
        <v>4</v>
      </c>
      <c r="C5" s="3" t="s">
        <v>5</v>
      </c>
      <c r="D5" s="6">
        <v>0.5625</v>
      </c>
      <c r="E5" s="6">
        <v>0.60416666666666663</v>
      </c>
      <c r="F5" s="3" t="s">
        <v>12</v>
      </c>
      <c r="G5" s="4">
        <f>Table36[[#This Row],[Time To]]-Table36[[#This Row],[Time From]]</f>
        <v>4.166666666666663E-2</v>
      </c>
    </row>
    <row r="6" spans="2:7">
      <c r="B6" s="3" t="s">
        <v>0</v>
      </c>
      <c r="C6" s="3" t="s">
        <v>5</v>
      </c>
      <c r="D6" s="6">
        <v>0.5625</v>
      </c>
      <c r="E6" s="6">
        <v>0.60416666666666663</v>
      </c>
      <c r="F6" s="3" t="s">
        <v>12</v>
      </c>
      <c r="G6" s="4">
        <f>Table36[[#This Row],[Time To]]-Table36[[#This Row],[Time From]]</f>
        <v>4.166666666666663E-2</v>
      </c>
    </row>
    <row r="7" spans="2:7">
      <c r="B7" s="3" t="s">
        <v>1</v>
      </c>
      <c r="C7" s="3" t="s">
        <v>5</v>
      </c>
      <c r="D7" s="6">
        <v>0.5625</v>
      </c>
      <c r="E7" s="6">
        <v>0.60416666666666696</v>
      </c>
      <c r="F7" s="3" t="s">
        <v>12</v>
      </c>
      <c r="G7" s="4">
        <f>Table36[[#This Row],[Time To]]-Table36[[#This Row],[Time From]]</f>
        <v>4.1666666666666963E-2</v>
      </c>
    </row>
    <row r="8" spans="2:7">
      <c r="B8" s="3" t="s">
        <v>2</v>
      </c>
      <c r="C8" s="3" t="s">
        <v>5</v>
      </c>
      <c r="D8" s="6">
        <v>0.5625</v>
      </c>
      <c r="E8" s="6">
        <v>0.60416666666666696</v>
      </c>
      <c r="F8" s="3" t="s">
        <v>12</v>
      </c>
      <c r="G8" s="4">
        <f>Table36[[#This Row],[Time To]]-Table36[[#This Row],[Time From]]</f>
        <v>4.1666666666666963E-2</v>
      </c>
    </row>
    <row r="9" spans="2:7">
      <c r="B9" s="3" t="s">
        <v>3</v>
      </c>
      <c r="C9" s="3" t="s">
        <v>5</v>
      </c>
      <c r="D9" s="6">
        <v>0.5625</v>
      </c>
      <c r="E9" s="6">
        <v>0.60416666666666696</v>
      </c>
      <c r="F9" s="3" t="s">
        <v>12</v>
      </c>
      <c r="G9" s="4">
        <f>Table36[[#This Row],[Time To]]-Table36[[#This Row],[Time From]]</f>
        <v>4.1666666666666963E-2</v>
      </c>
    </row>
    <row r="10" spans="2:7">
      <c r="B10" s="11" t="s">
        <v>29</v>
      </c>
      <c r="C10" s="11" t="s">
        <v>30</v>
      </c>
      <c r="D10" s="12">
        <v>0.89583333333333337</v>
      </c>
      <c r="E10" s="12">
        <v>0.97916666666666663</v>
      </c>
      <c r="F10" s="11" t="s">
        <v>31</v>
      </c>
      <c r="G10" s="4">
        <f>Table36[[#This Row],[Time To]]-Table36[[#This Row],[Time From]]</f>
        <v>8.3333333333333259E-2</v>
      </c>
    </row>
    <row r="11" spans="2:7">
      <c r="B11" s="13" t="s">
        <v>29</v>
      </c>
      <c r="C11" s="13" t="s">
        <v>28</v>
      </c>
      <c r="D11" s="14">
        <v>0.375</v>
      </c>
      <c r="E11" s="14">
        <v>0.5</v>
      </c>
      <c r="F11" s="13" t="s">
        <v>32</v>
      </c>
      <c r="G11" s="4">
        <f>Table36[[#This Row],[Time To]]-Table36[[#This Row],[Time From]]</f>
        <v>0.125</v>
      </c>
    </row>
    <row r="12" spans="2:7">
      <c r="B12" s="11" t="s">
        <v>33</v>
      </c>
      <c r="C12" s="11" t="s">
        <v>28</v>
      </c>
      <c r="D12" s="12">
        <v>0.375</v>
      </c>
      <c r="E12" s="12">
        <v>0.5</v>
      </c>
      <c r="F12" s="11" t="s">
        <v>34</v>
      </c>
      <c r="G12" s="4">
        <f>Table36[[#This Row],[Time To]]-Table36[[#This Row],[Time From]]</f>
        <v>0.125</v>
      </c>
    </row>
    <row r="13" spans="2:7">
      <c r="B13" s="13" t="s">
        <v>35</v>
      </c>
      <c r="C13" s="13" t="s">
        <v>28</v>
      </c>
      <c r="D13" s="14">
        <v>0.375</v>
      </c>
      <c r="E13" s="14">
        <v>0.5</v>
      </c>
      <c r="F13" s="13" t="s">
        <v>36</v>
      </c>
      <c r="G13" s="4">
        <f>Table36[[#This Row],[Time To]]-Table36[[#This Row],[Time From]]</f>
        <v>0.125</v>
      </c>
    </row>
    <row r="14" spans="2:7">
      <c r="B14" s="11" t="s">
        <v>37</v>
      </c>
      <c r="C14" s="11" t="s">
        <v>28</v>
      </c>
      <c r="D14" s="12">
        <v>0.375</v>
      </c>
      <c r="E14" s="12">
        <v>0.5</v>
      </c>
      <c r="F14" s="11" t="s">
        <v>38</v>
      </c>
      <c r="G14" s="4">
        <f>Table36[[#This Row],[Time To]]-Table36[[#This Row],[Time From]]</f>
        <v>0.125</v>
      </c>
    </row>
    <row r="15" spans="2:7">
      <c r="B15" s="13" t="s">
        <v>39</v>
      </c>
      <c r="C15" s="13" t="s">
        <v>28</v>
      </c>
      <c r="D15" s="14">
        <v>0.375</v>
      </c>
      <c r="E15" s="14">
        <v>0.5</v>
      </c>
      <c r="F15" s="13" t="s">
        <v>40</v>
      </c>
      <c r="G15" s="4">
        <f>Table36[[#This Row],[Time To]]-Table36[[#This Row],[Time From]]</f>
        <v>0.125</v>
      </c>
    </row>
    <row r="18" spans="2:6" ht="33.75" customHeight="1"/>
    <row r="19" spans="2:6" ht="45">
      <c r="B19" s="3" t="s">
        <v>8</v>
      </c>
      <c r="C19" s="5" t="s">
        <v>18</v>
      </c>
      <c r="D19" s="3"/>
      <c r="E19" s="3" t="s">
        <v>27</v>
      </c>
      <c r="F19" s="3" t="s">
        <v>21</v>
      </c>
    </row>
    <row r="20" spans="2:6">
      <c r="B20" s="3" t="s">
        <v>4</v>
      </c>
      <c r="C20" s="4">
        <f>SUMIF(Table36[Name],Table9[[#This Row],[Name]],Table36[Working Hours])</f>
        <v>0.24999999999999989</v>
      </c>
      <c r="D20" s="3"/>
      <c r="E20" s="3">
        <v>1</v>
      </c>
      <c r="F20" s="8" t="s">
        <v>19</v>
      </c>
    </row>
    <row r="21" spans="2:6">
      <c r="B21" s="3" t="s">
        <v>0</v>
      </c>
      <c r="C21" s="4">
        <f>SUMIF(Table36[Name],Table9[[#This Row],[Name]],Table36[Working Hours])</f>
        <v>0.16666666666666663</v>
      </c>
      <c r="D21" s="3"/>
      <c r="E21" s="3">
        <v>2</v>
      </c>
      <c r="F21" s="8" t="s">
        <v>20</v>
      </c>
    </row>
    <row r="22" spans="2:6">
      <c r="B22" s="3" t="s">
        <v>1</v>
      </c>
      <c r="C22" s="4">
        <f>SUMIF(Table36[Name],Table9[[#This Row],[Name]],Table36[Working Hours])</f>
        <v>0.16666666666666696</v>
      </c>
      <c r="D22" s="3"/>
      <c r="E22" s="3">
        <v>3</v>
      </c>
      <c r="F22" s="8" t="s">
        <v>22</v>
      </c>
    </row>
    <row r="23" spans="2:6" ht="30">
      <c r="B23" s="3" t="s">
        <v>2</v>
      </c>
      <c r="C23" s="4">
        <f>SUMIF(Table36[Name],Table9[[#This Row],[Name]],Table36[Working Hours])</f>
        <v>0.16666666666666696</v>
      </c>
      <c r="D23" s="3"/>
      <c r="E23" s="3">
        <v>4</v>
      </c>
      <c r="F23" s="9" t="s">
        <v>23</v>
      </c>
    </row>
    <row r="24" spans="2:6">
      <c r="B24" s="3" t="s">
        <v>3</v>
      </c>
      <c r="C24" s="4">
        <f>SUMIF(Table36[Name],Table9[[#This Row],[Name]],Table36[Working Hours])</f>
        <v>0.16666666666666696</v>
      </c>
      <c r="D24" s="3"/>
      <c r="E24" s="3"/>
    </row>
  </sheetData>
  <mergeCells count="1">
    <mergeCell ref="B3:G3"/>
  </mergeCells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7259B4-FE30-46AC-AEF9-DCD3CB52AB4B}">
  <dimension ref="B4:G19"/>
  <sheetViews>
    <sheetView workbookViewId="0">
      <selection activeCell="E26" sqref="E26"/>
    </sheetView>
  </sheetViews>
  <sheetFormatPr defaultRowHeight="15"/>
  <cols>
    <col min="1" max="1" width="9" style="7"/>
    <col min="2" max="2" width="12.5" style="7" customWidth="1"/>
    <col min="3" max="3" width="11.875" style="7" customWidth="1"/>
    <col min="4" max="5" width="13.625" style="7" customWidth="1"/>
    <col min="6" max="6" width="35.625" style="7" customWidth="1"/>
    <col min="7" max="7" width="13.25" style="7" bestFit="1" customWidth="1"/>
    <col min="8" max="16384" width="9" style="7"/>
  </cols>
  <sheetData>
    <row r="4" spans="2:7" ht="30">
      <c r="B4" s="3" t="s">
        <v>8</v>
      </c>
      <c r="C4" s="3" t="s">
        <v>6</v>
      </c>
      <c r="D4" s="3" t="s">
        <v>10</v>
      </c>
      <c r="E4" s="3" t="s">
        <v>9</v>
      </c>
      <c r="F4" s="3" t="s">
        <v>7</v>
      </c>
      <c r="G4" s="5" t="s">
        <v>11</v>
      </c>
    </row>
    <row r="5" spans="2:7">
      <c r="B5" s="3" t="s">
        <v>4</v>
      </c>
      <c r="C5" s="3" t="s">
        <v>5</v>
      </c>
      <c r="D5" s="6">
        <v>0.58333333333333337</v>
      </c>
      <c r="E5" s="6">
        <v>0.6875</v>
      </c>
      <c r="F5" s="3" t="s">
        <v>25</v>
      </c>
      <c r="G5" s="4">
        <f>Table3[[#This Row],[Time To]]-Table3[[#This Row],[Time From]]</f>
        <v>0.10416666666666663</v>
      </c>
    </row>
    <row r="6" spans="2:7">
      <c r="B6" s="3" t="s">
        <v>4</v>
      </c>
      <c r="C6" s="3" t="s">
        <v>5</v>
      </c>
      <c r="D6" s="6">
        <v>0.85416666666666663</v>
      </c>
      <c r="E6" s="6">
        <v>0.89583333333333337</v>
      </c>
      <c r="F6" s="3" t="s">
        <v>26</v>
      </c>
      <c r="G6" s="4">
        <f>Table3[[#This Row],[Time To]]-Table3[[#This Row],[Time From]]</f>
        <v>4.1666666666666741E-2</v>
      </c>
    </row>
    <row r="7" spans="2:7">
      <c r="B7" s="3" t="s">
        <v>0</v>
      </c>
      <c r="C7" s="3"/>
      <c r="D7" s="6"/>
      <c r="E7" s="6"/>
      <c r="F7" s="3"/>
      <c r="G7" s="4">
        <f>Table3[[#This Row],[Time To]]-Table3[[#This Row],[Time From]]</f>
        <v>0</v>
      </c>
    </row>
    <row r="8" spans="2:7">
      <c r="B8" s="3" t="s">
        <v>1</v>
      </c>
      <c r="C8" s="3"/>
      <c r="D8" s="6"/>
      <c r="E8" s="6"/>
      <c r="F8" s="3"/>
      <c r="G8" s="4">
        <f>Table3[[#This Row],[Time To]]-Table3[[#This Row],[Time From]]</f>
        <v>0</v>
      </c>
    </row>
    <row r="9" spans="2:7">
      <c r="B9" s="3" t="s">
        <v>2</v>
      </c>
      <c r="C9" s="3"/>
      <c r="D9" s="6"/>
      <c r="E9" s="6"/>
      <c r="F9" s="3"/>
      <c r="G9" s="4">
        <f>Table3[[#This Row],[Time To]]-Table3[[#This Row],[Time From]]</f>
        <v>0</v>
      </c>
    </row>
    <row r="10" spans="2:7">
      <c r="B10" s="3" t="s">
        <v>3</v>
      </c>
      <c r="C10" s="3"/>
      <c r="D10" s="6"/>
      <c r="E10" s="6"/>
      <c r="F10" s="3"/>
      <c r="G10" s="4">
        <f>Table3[[#This Row],[Time To]]-Table3[[#This Row],[Time From]]</f>
        <v>0</v>
      </c>
    </row>
    <row r="11" spans="2:7">
      <c r="B11" s="3"/>
      <c r="C11" s="3"/>
      <c r="D11" s="3"/>
      <c r="E11" s="3"/>
      <c r="F11" s="3"/>
    </row>
    <row r="14" spans="2:7" ht="45">
      <c r="B14" s="3" t="s">
        <v>8</v>
      </c>
      <c r="C14" s="5" t="s">
        <v>18</v>
      </c>
      <c r="E14" s="3" t="s">
        <v>27</v>
      </c>
      <c r="F14" s="3" t="s">
        <v>21</v>
      </c>
    </row>
    <row r="15" spans="2:7">
      <c r="B15" s="3" t="s">
        <v>4</v>
      </c>
      <c r="C15" s="4">
        <f>SUMIF(Table3[Name],Table911[[#This Row],[Name]],Table3[Working Hours])</f>
        <v>0.14583333333333337</v>
      </c>
      <c r="E15" s="3">
        <v>1</v>
      </c>
      <c r="F15" s="8" t="s">
        <v>19</v>
      </c>
    </row>
    <row r="16" spans="2:7">
      <c r="B16" s="3" t="s">
        <v>0</v>
      </c>
      <c r="C16" s="4">
        <f>SUMIF(Table3[Name],Table911[[#This Row],[Name]],Table3[Working Hours])</f>
        <v>0</v>
      </c>
      <c r="E16" s="3">
        <v>2</v>
      </c>
      <c r="F16" s="8" t="s">
        <v>20</v>
      </c>
    </row>
    <row r="17" spans="2:6">
      <c r="B17" s="3" t="s">
        <v>1</v>
      </c>
      <c r="C17" s="4">
        <f>SUMIF(Table3[Name],Table911[[#This Row],[Name]],Table3[Working Hours])</f>
        <v>0</v>
      </c>
      <c r="E17" s="3">
        <v>3</v>
      </c>
      <c r="F17" s="8" t="s">
        <v>22</v>
      </c>
    </row>
    <row r="18" spans="2:6" ht="30">
      <c r="B18" s="3" t="s">
        <v>2</v>
      </c>
      <c r="C18" s="4">
        <f>SUMIF(Table3[Name],Table911[[#This Row],[Name]],Table3[Working Hours])</f>
        <v>0</v>
      </c>
      <c r="E18" s="3">
        <v>4</v>
      </c>
      <c r="F18" s="9" t="s">
        <v>23</v>
      </c>
    </row>
    <row r="19" spans="2:6">
      <c r="B19" s="3" t="s">
        <v>3</v>
      </c>
      <c r="C19" s="4">
        <f>SUMIF(Table3[Name],Table911[[#This Row],[Name]],Table3[Working Hours])</f>
        <v>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11B17-68E4-46D9-B1CE-9178E162A047}">
  <dimension ref="B4:K19"/>
  <sheetViews>
    <sheetView workbookViewId="0">
      <selection activeCell="D32" sqref="D32"/>
    </sheetView>
  </sheetViews>
  <sheetFormatPr defaultRowHeight="15"/>
  <cols>
    <col min="1" max="1" width="9" style="7"/>
    <col min="2" max="2" width="12.5" style="7" customWidth="1"/>
    <col min="3" max="3" width="11.875" style="7" customWidth="1"/>
    <col min="4" max="5" width="13.625" style="7" customWidth="1"/>
    <col min="6" max="6" width="35.625" style="7" customWidth="1"/>
    <col min="7" max="7" width="13.25" style="7" bestFit="1" customWidth="1"/>
    <col min="8" max="16384" width="9" style="7"/>
  </cols>
  <sheetData>
    <row r="4" spans="2:11" ht="30">
      <c r="B4" s="3" t="s">
        <v>8</v>
      </c>
      <c r="C4" s="3" t="s">
        <v>6</v>
      </c>
      <c r="D4" s="3" t="s">
        <v>10</v>
      </c>
      <c r="E4" s="3" t="s">
        <v>9</v>
      </c>
      <c r="F4" s="3" t="s">
        <v>7</v>
      </c>
      <c r="G4" s="5" t="s">
        <v>11</v>
      </c>
    </row>
    <row r="5" spans="2:11">
      <c r="B5" s="3" t="s">
        <v>4</v>
      </c>
      <c r="C5" s="3"/>
      <c r="D5" s="6"/>
      <c r="E5" s="6"/>
      <c r="F5" s="3"/>
      <c r="G5" s="4">
        <f>Table37[[#This Row],[Time To]]-Table37[[#This Row],[Time From]]</f>
        <v>0</v>
      </c>
    </row>
    <row r="6" spans="2:11">
      <c r="B6" s="3" t="s">
        <v>0</v>
      </c>
      <c r="C6" s="3"/>
      <c r="D6" s="6"/>
      <c r="E6" s="6"/>
      <c r="F6" s="3"/>
      <c r="G6" s="4">
        <f>Table37[[#This Row],[Time To]]-Table37[[#This Row],[Time From]]</f>
        <v>0</v>
      </c>
    </row>
    <row r="7" spans="2:11">
      <c r="B7" s="3" t="s">
        <v>1</v>
      </c>
      <c r="C7" s="3"/>
      <c r="D7" s="6"/>
      <c r="E7" s="6"/>
      <c r="F7" s="3"/>
      <c r="G7" s="4">
        <f>Table37[[#This Row],[Time To]]-Table37[[#This Row],[Time From]]</f>
        <v>0</v>
      </c>
      <c r="H7" s="3"/>
      <c r="I7" s="3"/>
      <c r="J7" s="3"/>
      <c r="K7" s="3"/>
    </row>
    <row r="8" spans="2:11">
      <c r="B8" s="3" t="s">
        <v>2</v>
      </c>
      <c r="C8" s="3"/>
      <c r="D8" s="6"/>
      <c r="E8" s="6"/>
      <c r="F8" s="3"/>
      <c r="G8" s="4">
        <f>Table37[[#This Row],[Time To]]-Table37[[#This Row],[Time From]]</f>
        <v>0</v>
      </c>
      <c r="H8" s="6"/>
      <c r="I8" s="6"/>
      <c r="J8" s="3"/>
      <c r="K8" s="4"/>
    </row>
    <row r="9" spans="2:11">
      <c r="B9" s="3" t="s">
        <v>3</v>
      </c>
      <c r="C9" s="3"/>
      <c r="D9" s="6"/>
      <c r="E9" s="6"/>
      <c r="F9" s="3"/>
      <c r="G9" s="4">
        <f>Table37[[#This Row],[Time To]]-Table37[[#This Row],[Time From]]</f>
        <v>0</v>
      </c>
      <c r="H9" s="6"/>
      <c r="I9" s="6"/>
      <c r="J9" s="3"/>
      <c r="K9" s="4"/>
    </row>
    <row r="10" spans="2:11">
      <c r="F10" s="3"/>
      <c r="G10" s="3"/>
      <c r="H10" s="6"/>
      <c r="I10" s="6"/>
      <c r="J10" s="3"/>
      <c r="K10" s="4"/>
    </row>
    <row r="11" spans="2:11">
      <c r="F11" s="3"/>
      <c r="G11" s="3"/>
      <c r="H11" s="6"/>
      <c r="I11" s="6"/>
      <c r="J11" s="3"/>
      <c r="K11" s="4"/>
    </row>
    <row r="12" spans="2:11">
      <c r="F12" s="3"/>
      <c r="G12" s="3"/>
      <c r="H12" s="6"/>
      <c r="I12" s="6"/>
      <c r="J12" s="3"/>
      <c r="K12" s="4"/>
    </row>
    <row r="14" spans="2:11" ht="45">
      <c r="B14" s="3" t="s">
        <v>8</v>
      </c>
      <c r="C14" s="5" t="s">
        <v>18</v>
      </c>
      <c r="E14" s="3" t="s">
        <v>27</v>
      </c>
      <c r="F14" s="3" t="s">
        <v>21</v>
      </c>
    </row>
    <row r="15" spans="2:11">
      <c r="B15" s="3" t="s">
        <v>4</v>
      </c>
      <c r="C15" s="4">
        <f>SUMIF(Table37[Name],Table91112[[#This Row],[Name]],Table37[Working Hours])</f>
        <v>0</v>
      </c>
      <c r="E15" s="3">
        <v>1</v>
      </c>
      <c r="F15" s="8" t="s">
        <v>19</v>
      </c>
    </row>
    <row r="16" spans="2:11">
      <c r="B16" s="3" t="s">
        <v>0</v>
      </c>
      <c r="C16" s="4">
        <f>SUMIF(Table37[Name],Table91112[[#This Row],[Name]],Table37[Working Hours])</f>
        <v>0</v>
      </c>
      <c r="E16" s="3">
        <v>2</v>
      </c>
      <c r="F16" s="8" t="s">
        <v>20</v>
      </c>
    </row>
    <row r="17" spans="2:6">
      <c r="B17" s="3" t="s">
        <v>1</v>
      </c>
      <c r="C17" s="4">
        <f>SUMIF(Table37[Name],Table91112[[#This Row],[Name]],Table37[Working Hours])</f>
        <v>0</v>
      </c>
      <c r="E17" s="3">
        <v>3</v>
      </c>
      <c r="F17" s="8" t="s">
        <v>22</v>
      </c>
    </row>
    <row r="18" spans="2:6" ht="30">
      <c r="B18" s="3" t="s">
        <v>2</v>
      </c>
      <c r="C18" s="4">
        <f>SUMIF(Table37[Name],Table91112[[#This Row],[Name]],Table37[Working Hours])</f>
        <v>0</v>
      </c>
      <c r="E18" s="3">
        <v>4</v>
      </c>
      <c r="F18" s="9" t="s">
        <v>23</v>
      </c>
    </row>
    <row r="19" spans="2:6">
      <c r="B19" s="3" t="s">
        <v>3</v>
      </c>
      <c r="C19" s="4">
        <f>SUMIF(Table37[Name],Table91112[[#This Row],[Name]],Table37[Working Hours])</f>
        <v>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4470A4-5132-4F45-9DCD-4631CF8CD6B4}">
  <dimension ref="B4:G19"/>
  <sheetViews>
    <sheetView workbookViewId="0">
      <selection activeCell="E26" sqref="E26"/>
    </sheetView>
  </sheetViews>
  <sheetFormatPr defaultRowHeight="15"/>
  <cols>
    <col min="1" max="1" width="9" style="7"/>
    <col min="2" max="2" width="12.5" style="7" customWidth="1"/>
    <col min="3" max="3" width="11.875" style="7" customWidth="1"/>
    <col min="4" max="5" width="13.625" style="7" customWidth="1"/>
    <col min="6" max="6" width="35.625" style="7" customWidth="1"/>
    <col min="7" max="7" width="13.25" style="7" bestFit="1" customWidth="1"/>
    <col min="8" max="16384" width="9" style="7"/>
  </cols>
  <sheetData>
    <row r="4" spans="2:7" ht="30">
      <c r="B4" s="3" t="s">
        <v>8</v>
      </c>
      <c r="C4" s="3" t="s">
        <v>6</v>
      </c>
      <c r="D4" s="3" t="s">
        <v>10</v>
      </c>
      <c r="E4" s="3" t="s">
        <v>9</v>
      </c>
      <c r="F4" s="3" t="s">
        <v>7</v>
      </c>
      <c r="G4" s="5" t="s">
        <v>11</v>
      </c>
    </row>
    <row r="5" spans="2:7">
      <c r="B5" s="3" t="s">
        <v>4</v>
      </c>
      <c r="C5" s="3"/>
      <c r="D5" s="6"/>
      <c r="E5" s="6"/>
      <c r="F5" s="3"/>
      <c r="G5" s="4">
        <f>Table38[[#This Row],[Time To]]-Table38[[#This Row],[Time From]]</f>
        <v>0</v>
      </c>
    </row>
    <row r="6" spans="2:7">
      <c r="B6" s="3" t="s">
        <v>0</v>
      </c>
      <c r="C6" s="3"/>
      <c r="D6" s="6"/>
      <c r="E6" s="6"/>
      <c r="F6" s="3"/>
      <c r="G6" s="4">
        <f>Table38[[#This Row],[Time To]]-Table38[[#This Row],[Time From]]</f>
        <v>0</v>
      </c>
    </row>
    <row r="7" spans="2:7">
      <c r="B7" s="3" t="s">
        <v>1</v>
      </c>
      <c r="C7" s="3"/>
      <c r="D7" s="6"/>
      <c r="E7" s="6"/>
      <c r="F7" s="3"/>
      <c r="G7" s="4">
        <f>Table38[[#This Row],[Time To]]-Table38[[#This Row],[Time From]]</f>
        <v>0</v>
      </c>
    </row>
    <row r="8" spans="2:7">
      <c r="B8" s="3" t="s">
        <v>2</v>
      </c>
      <c r="C8" s="3"/>
      <c r="D8" s="6"/>
      <c r="E8" s="6"/>
      <c r="F8" s="3"/>
      <c r="G8" s="4">
        <f>Table38[[#This Row],[Time To]]-Table38[[#This Row],[Time From]]</f>
        <v>0</v>
      </c>
    </row>
    <row r="9" spans="2:7">
      <c r="B9" s="3" t="s">
        <v>3</v>
      </c>
      <c r="C9" s="3"/>
      <c r="D9" s="6"/>
      <c r="E9" s="6"/>
      <c r="F9" s="3"/>
      <c r="G9" s="4">
        <f>Table38[[#This Row],[Time To]]-Table38[[#This Row],[Time From]]</f>
        <v>0</v>
      </c>
    </row>
    <row r="14" spans="2:7" ht="45">
      <c r="B14" s="3" t="s">
        <v>8</v>
      </c>
      <c r="C14" s="5" t="s">
        <v>18</v>
      </c>
      <c r="E14" s="3" t="s">
        <v>27</v>
      </c>
      <c r="F14" s="3" t="s">
        <v>21</v>
      </c>
    </row>
    <row r="15" spans="2:7">
      <c r="B15" s="3" t="s">
        <v>4</v>
      </c>
      <c r="C15" s="4">
        <f>SUMIF(Table38[Name],Table91113[[#This Row],[Name]],Table38[Working Hours])</f>
        <v>0</v>
      </c>
      <c r="E15" s="3">
        <v>1</v>
      </c>
      <c r="F15" s="8" t="s">
        <v>19</v>
      </c>
    </row>
    <row r="16" spans="2:7">
      <c r="B16" s="3" t="s">
        <v>0</v>
      </c>
      <c r="C16" s="4">
        <f>SUMIF(Table38[Name],Table91113[[#This Row],[Name]],Table38[Working Hours])</f>
        <v>0</v>
      </c>
      <c r="E16" s="3">
        <v>2</v>
      </c>
      <c r="F16" s="8" t="s">
        <v>20</v>
      </c>
    </row>
    <row r="17" spans="2:6">
      <c r="B17" s="3" t="s">
        <v>1</v>
      </c>
      <c r="C17" s="4">
        <f>SUMIF(Table38[Name],Table91113[[#This Row],[Name]],Table38[Working Hours])</f>
        <v>0</v>
      </c>
      <c r="E17" s="3">
        <v>3</v>
      </c>
      <c r="F17" s="8" t="s">
        <v>22</v>
      </c>
    </row>
    <row r="18" spans="2:6" ht="30">
      <c r="B18" s="3" t="s">
        <v>2</v>
      </c>
      <c r="C18" s="4">
        <f>SUMIF(Table38[Name],Table91113[[#This Row],[Name]],Table38[Working Hours])</f>
        <v>0</v>
      </c>
      <c r="E18" s="3">
        <v>4</v>
      </c>
      <c r="F18" s="9" t="s">
        <v>23</v>
      </c>
    </row>
    <row r="19" spans="2:6">
      <c r="B19" s="3" t="s">
        <v>3</v>
      </c>
      <c r="C19" s="4">
        <f>SUMIF(Table38[Name],Table91113[[#This Row],[Name]],Table38[Working Hours])</f>
        <v>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0BB49-3BF7-4862-B0D6-7C4FADBC54D2}">
  <dimension ref="B4:G10"/>
  <sheetViews>
    <sheetView tabSelected="1" workbookViewId="0">
      <selection activeCell="N26" sqref="N26"/>
    </sheetView>
  </sheetViews>
  <sheetFormatPr defaultRowHeight="15"/>
  <cols>
    <col min="1" max="1" width="9" style="7"/>
    <col min="2" max="2" width="12.125" style="7" bestFit="1" customWidth="1"/>
    <col min="3" max="7" width="15.625" style="7" customWidth="1"/>
    <col min="8" max="16384" width="9" style="7"/>
  </cols>
  <sheetData>
    <row r="4" spans="2:7" ht="30" customHeight="1">
      <c r="B4" s="1" t="s">
        <v>8</v>
      </c>
      <c r="C4" s="1" t="s">
        <v>15</v>
      </c>
      <c r="D4" s="1" t="s">
        <v>13</v>
      </c>
      <c r="E4" s="1" t="s">
        <v>14</v>
      </c>
      <c r="F4" s="1" t="s">
        <v>16</v>
      </c>
      <c r="G4" s="2" t="s">
        <v>17</v>
      </c>
    </row>
    <row r="5" spans="2:7" ht="22.5" customHeight="1">
      <c r="B5" s="3" t="s">
        <v>4</v>
      </c>
      <c r="C5" s="4">
        <f>Website!C20</f>
        <v>0.24999999999999989</v>
      </c>
      <c r="D5" s="4">
        <f>Excel!C15</f>
        <v>0.14583333333333337</v>
      </c>
      <c r="E5" s="4">
        <f>Visio!C15</f>
        <v>0</v>
      </c>
      <c r="F5" s="4">
        <f>PowerPoint!C15</f>
        <v>0</v>
      </c>
      <c r="G5" s="4">
        <f>SUM(Table8[[#This Row],[Website]:[PowerPoint]])</f>
        <v>0.39583333333333326</v>
      </c>
    </row>
    <row r="6" spans="2:7" ht="22.5" customHeight="1">
      <c r="B6" s="3" t="s">
        <v>0</v>
      </c>
      <c r="C6" s="4">
        <f>Website!C21</f>
        <v>0.16666666666666663</v>
      </c>
      <c r="D6" s="4">
        <f>Excel!C16</f>
        <v>0</v>
      </c>
      <c r="E6" s="4">
        <f>Visio!C16</f>
        <v>0</v>
      </c>
      <c r="F6" s="4">
        <f>PowerPoint!C16</f>
        <v>0</v>
      </c>
      <c r="G6" s="4">
        <f>SUM(Table8[[#This Row],[Website]:[PowerPoint]])</f>
        <v>0.16666666666666663</v>
      </c>
    </row>
    <row r="7" spans="2:7" ht="22.5" customHeight="1">
      <c r="B7" s="3" t="s">
        <v>1</v>
      </c>
      <c r="C7" s="4">
        <f>Website!C22</f>
        <v>0.16666666666666696</v>
      </c>
      <c r="D7" s="4">
        <f>Excel!C17</f>
        <v>0</v>
      </c>
      <c r="E7" s="4">
        <f>Visio!C17</f>
        <v>0</v>
      </c>
      <c r="F7" s="4">
        <f>PowerPoint!C17</f>
        <v>0</v>
      </c>
      <c r="G7" s="4">
        <f>SUM(Table8[[#This Row],[Website]:[PowerPoint]])</f>
        <v>0.16666666666666696</v>
      </c>
    </row>
    <row r="8" spans="2:7" ht="22.5" customHeight="1">
      <c r="B8" s="3" t="s">
        <v>2</v>
      </c>
      <c r="C8" s="4">
        <f>Website!C23</f>
        <v>0.16666666666666696</v>
      </c>
      <c r="D8" s="4">
        <f>Excel!C18</f>
        <v>0</v>
      </c>
      <c r="E8" s="4">
        <f>Visio!C18</f>
        <v>0</v>
      </c>
      <c r="F8" s="4">
        <f>PowerPoint!C18</f>
        <v>0</v>
      </c>
      <c r="G8" s="4">
        <f>SUM(Table8[[#This Row],[Website]:[PowerPoint]])</f>
        <v>0.16666666666666696</v>
      </c>
    </row>
    <row r="9" spans="2:7" ht="22.5" customHeight="1">
      <c r="B9" s="3" t="s">
        <v>3</v>
      </c>
      <c r="C9" s="4">
        <f>Website!C24</f>
        <v>0.16666666666666696</v>
      </c>
      <c r="D9" s="4">
        <f>Excel!C19</f>
        <v>0</v>
      </c>
      <c r="E9" s="4">
        <f>Visio!C19</f>
        <v>0</v>
      </c>
      <c r="F9" s="4">
        <f>PowerPoint!C19</f>
        <v>0</v>
      </c>
      <c r="G9" s="4">
        <f>SUM(Table8[[#This Row],[Website]:[PowerPoint]])</f>
        <v>0.16666666666666696</v>
      </c>
    </row>
    <row r="10" spans="2:7" ht="30">
      <c r="B10" s="5" t="s">
        <v>24</v>
      </c>
      <c r="C10" s="4">
        <f>SUM(C5:C9)</f>
        <v>0.91666666666666741</v>
      </c>
      <c r="D10" s="4">
        <f t="shared" ref="D10:F10" si="0">SUM(D5:D9)</f>
        <v>0.14583333333333337</v>
      </c>
      <c r="E10" s="4">
        <f t="shared" si="0"/>
        <v>0</v>
      </c>
      <c r="F10" s="4">
        <f t="shared" si="0"/>
        <v>0</v>
      </c>
      <c r="G10" s="4"/>
    </row>
  </sheetData>
  <phoneticPr fontId="1" type="noConversion"/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Website</vt:lpstr>
      <vt:lpstr>Excel</vt:lpstr>
      <vt:lpstr>Visio</vt:lpstr>
      <vt:lpstr>PowerPoint</vt:lpstr>
      <vt:lpstr>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Jingyu An</dc:creator>
  <cp:lastModifiedBy>Jingyu An</cp:lastModifiedBy>
  <dcterms:created xsi:type="dcterms:W3CDTF">2022-04-25T18:09:04Z</dcterms:created>
  <dcterms:modified xsi:type="dcterms:W3CDTF">2022-04-26T14:16:45Z</dcterms:modified>
</cp:coreProperties>
</file>