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ohnabbott\Foundations of Web Development\Final\Excel\"/>
    </mc:Choice>
  </mc:AlternateContent>
  <xr:revisionPtr revIDLastSave="140" documentId="13_ncr:1_{C75F6325-2D98-43AF-8F06-DA99DB030FE7}" xr6:coauthVersionLast="47" xr6:coauthVersionMax="47" xr10:uidLastSave="{9A53FF2A-90FC-4612-81E6-A465DAFA6F82}"/>
  <bookViews>
    <workbookView xWindow="-38520" yWindow="-120" windowWidth="38640" windowHeight="21840" firstSheet="1" activeTab="4" xr2:uid="{2698E3B9-EB8D-4273-AA68-BC3B08924BD1}"/>
  </bookViews>
  <sheets>
    <sheet name="Website" sheetId="1" r:id="rId1"/>
    <sheet name="Excel" sheetId="2" r:id="rId2"/>
    <sheet name="Visio-Word" sheetId="3" r:id="rId3"/>
    <sheet name="PowerPoint" sheetId="5" r:id="rId4"/>
    <sheet name="Total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0" i="1" l="1"/>
  <c r="G21" i="1"/>
  <c r="G18" i="1"/>
  <c r="G17" i="1"/>
  <c r="G16" i="1"/>
  <c r="G15" i="1"/>
  <c r="G12" i="1"/>
  <c r="G13" i="1"/>
  <c r="G11" i="1"/>
  <c r="G14" i="1"/>
  <c r="G10" i="1"/>
  <c r="G19" i="1"/>
  <c r="G6" i="2"/>
  <c r="G9" i="1"/>
  <c r="C29" i="1" s="1"/>
  <c r="C9" i="4" s="1"/>
  <c r="G5" i="1"/>
  <c r="C25" i="1" s="1"/>
  <c r="C5" i="4" s="1"/>
  <c r="G6" i="1"/>
  <c r="C26" i="1" s="1"/>
  <c r="C6" i="4" s="1"/>
  <c r="G7" i="1"/>
  <c r="C27" i="1" s="1"/>
  <c r="C7" i="4" s="1"/>
  <c r="G8" i="1"/>
  <c r="C28" i="1" s="1"/>
  <c r="C8" i="4" s="1"/>
  <c r="G7" i="3"/>
  <c r="C17" i="3" s="1"/>
  <c r="E7" i="4" s="1"/>
  <c r="G8" i="3"/>
  <c r="C18" i="3" s="1"/>
  <c r="E8" i="4" s="1"/>
  <c r="G9" i="3"/>
  <c r="C19" i="3" s="1"/>
  <c r="E9" i="4" s="1"/>
  <c r="G7" i="2"/>
  <c r="C16" i="2" s="1"/>
  <c r="D6" i="4" s="1"/>
  <c r="G8" i="2"/>
  <c r="C17" i="2" s="1"/>
  <c r="D7" i="4" s="1"/>
  <c r="G9" i="2"/>
  <c r="C18" i="2" s="1"/>
  <c r="D8" i="4" s="1"/>
  <c r="G10" i="2"/>
  <c r="C19" i="2" s="1"/>
  <c r="D9" i="4" s="1"/>
  <c r="G6" i="5"/>
  <c r="C16" i="5" s="1"/>
  <c r="F6" i="4" s="1"/>
  <c r="G7" i="5"/>
  <c r="C17" i="5" s="1"/>
  <c r="F7" i="4" s="1"/>
  <c r="G8" i="5"/>
  <c r="C18" i="5" s="1"/>
  <c r="F8" i="4" s="1"/>
  <c r="G9" i="5"/>
  <c r="C19" i="5" s="1"/>
  <c r="F9" i="4" s="1"/>
  <c r="G6" i="3"/>
  <c r="C16" i="3" s="1"/>
  <c r="E6" i="4" s="1"/>
  <c r="G5" i="5"/>
  <c r="C15" i="5" s="1"/>
  <c r="F5" i="4" s="1"/>
  <c r="F10" i="4" s="1"/>
  <c r="G5" i="3"/>
  <c r="C15" i="3" s="1"/>
  <c r="E5" i="4" s="1"/>
  <c r="E10" i="4" s="1"/>
  <c r="G5" i="2"/>
  <c r="C15" i="2" s="1"/>
  <c r="D5" i="4" s="1"/>
  <c r="C10" i="4" l="1"/>
  <c r="D10" i="4"/>
  <c r="G9" i="4"/>
  <c r="G8" i="4"/>
  <c r="G5" i="4"/>
  <c r="G6" i="4"/>
  <c r="G7" i="4"/>
</calcChain>
</file>

<file path=xl/sharedStrings.xml><?xml version="1.0" encoding="utf-8"?>
<sst xmlns="http://schemas.openxmlformats.org/spreadsheetml/2006/main" count="168" uniqueCount="50">
  <si>
    <t>Name</t>
    <phoneticPr fontId="1" type="noConversion"/>
  </si>
  <si>
    <t>Day</t>
    <phoneticPr fontId="1" type="noConversion"/>
  </si>
  <si>
    <t>Time From</t>
    <phoneticPr fontId="1" type="noConversion"/>
  </si>
  <si>
    <t>Time To</t>
    <phoneticPr fontId="1" type="noConversion"/>
  </si>
  <si>
    <t>Done-did List</t>
    <phoneticPr fontId="1" type="noConversion"/>
  </si>
  <si>
    <t>Working Hours</t>
    <phoneticPr fontId="1" type="noConversion"/>
  </si>
  <si>
    <t>Jingyu</t>
    <phoneticPr fontId="1" type="noConversion"/>
  </si>
  <si>
    <t>Monday</t>
    <phoneticPr fontId="1" type="noConversion"/>
  </si>
  <si>
    <t>Project planning and discussion</t>
  </si>
  <si>
    <t>Amirhossein</t>
    <phoneticPr fontId="1" type="noConversion"/>
  </si>
  <si>
    <t>Curtis</t>
    <phoneticPr fontId="1" type="noConversion"/>
  </si>
  <si>
    <t>Zachary</t>
    <phoneticPr fontId="1" type="noConversion"/>
  </si>
  <si>
    <t>Gang</t>
    <phoneticPr fontId="1" type="noConversion"/>
  </si>
  <si>
    <t>Jingyu</t>
  </si>
  <si>
    <t>Monday</t>
  </si>
  <si>
    <t>Build contact page</t>
  </si>
  <si>
    <t>Tuesday</t>
  </si>
  <si>
    <t>Fix contact page style</t>
  </si>
  <si>
    <t>Amirhossein</t>
  </si>
  <si>
    <t>Build skills page</t>
  </si>
  <si>
    <t>Curtis</t>
  </si>
  <si>
    <t>Build education page</t>
  </si>
  <si>
    <t>Zachary</t>
  </si>
  <si>
    <t>Build index page</t>
  </si>
  <si>
    <t>Gang</t>
  </si>
  <si>
    <t>Build work experience page</t>
  </si>
  <si>
    <t>Fix contact page and modify style</t>
  </si>
  <si>
    <t>Fix skills page</t>
  </si>
  <si>
    <t>Fix education page</t>
  </si>
  <si>
    <t>Fix intex page and modify all style</t>
  </si>
  <si>
    <t>Modify all page</t>
  </si>
  <si>
    <t>Total Working Hours</t>
    <phoneticPr fontId="1" type="noConversion"/>
  </si>
  <si>
    <t xml:space="preserve"> </t>
    <phoneticPr fontId="1" type="noConversion"/>
  </si>
  <si>
    <t>Guide</t>
    <phoneticPr fontId="1" type="noConversion"/>
  </si>
  <si>
    <t>Select a cell and insert table row above</t>
    <phoneticPr fontId="1" type="noConversion"/>
  </si>
  <si>
    <t>Fill down each cell</t>
    <phoneticPr fontId="1" type="noConversion"/>
  </si>
  <si>
    <t>Enter the 24-hour time.(ex:15:00)</t>
    <phoneticPr fontId="1" type="noConversion"/>
  </si>
  <si>
    <t>On Working Hour cell, Changing the Format cells from General to Time</t>
    <phoneticPr fontId="1" type="noConversion"/>
  </si>
  <si>
    <t>Making Workload excel file</t>
    <phoneticPr fontId="1" type="noConversion"/>
  </si>
  <si>
    <t>Add doughnut chart and data</t>
    <phoneticPr fontId="1" type="noConversion"/>
  </si>
  <si>
    <t>Modify the Excel to add the work on the Word.</t>
  </si>
  <si>
    <t>Making Visio file</t>
  </si>
  <si>
    <t>tuesday</t>
  </si>
  <si>
    <t>working on visio</t>
  </si>
  <si>
    <t>Website</t>
    <phoneticPr fontId="1" type="noConversion"/>
  </si>
  <si>
    <t>Excel</t>
    <phoneticPr fontId="1" type="noConversion"/>
  </si>
  <si>
    <t>Visio</t>
    <phoneticPr fontId="1" type="noConversion"/>
  </si>
  <si>
    <t>PowerPoint</t>
    <phoneticPr fontId="1" type="noConversion"/>
  </si>
  <si>
    <t>Total</t>
    <phoneticPr fontId="1" type="noConversion"/>
  </si>
  <si>
    <t>Work time per item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</si>
</sst>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h:mm;@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sz val="11"/>
      <color rgb="FF000000"/>
      <name val="Microsoft Jheng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A6A6A6"/>
        <bgColor rgb="FFA6A6A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18" fontId="4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8" fontId="4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72"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5" formatCode="h:m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5" formatCode="h:m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5" formatCode="h:m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5" formatCode="h:m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5" formatCode="h:m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5" formatCode="h:m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5" formatCode="h:m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5" formatCode="h:m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5" formatCode="h:m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5" formatCode="h:m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numFmt numFmtId="164" formatCode="[$-409]h:mm\ AM/PM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icrosoft JhengHei"/>
        <family val="2"/>
        <charset val="136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altLang="ko-KR"/>
              <a:t>Working</a:t>
            </a:r>
            <a:r>
              <a:rPr lang="en-CA" altLang="ko-KR" baseline="0"/>
              <a:t> Hours</a:t>
            </a:r>
            <a:endParaRPr lang="en-CA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Total!$C$4</c:f>
              <c:strCache>
                <c:ptCount val="1"/>
                <c:pt idx="0">
                  <c:v>Website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Total!$B$5:$B$10</c15:sqref>
                  </c15:fullRef>
                </c:ext>
              </c:extLst>
              <c:f>Total!$B$5:$B$9</c:f>
              <c:strCache>
                <c:ptCount val="5"/>
                <c:pt idx="0">
                  <c:v>Jingyu</c:v>
                </c:pt>
                <c:pt idx="1">
                  <c:v>Amirhossein</c:v>
                </c:pt>
                <c:pt idx="2">
                  <c:v>Curtis</c:v>
                </c:pt>
                <c:pt idx="3">
                  <c:v>Zachary</c:v>
                </c:pt>
                <c:pt idx="4">
                  <c:v>Gang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Total!$C$5:$C$10</c15:sqref>
                  </c15:fullRef>
                </c:ext>
              </c:extLst>
              <c:f>Total!$C$5:$C$9</c:f>
              <c:numCache>
                <c:formatCode>h:mm;@</c:formatCode>
                <c:ptCount val="5"/>
                <c:pt idx="0">
                  <c:v>0.52083333333333315</c:v>
                </c:pt>
                <c:pt idx="1">
                  <c:v>0.27083333333333326</c:v>
                </c:pt>
                <c:pt idx="2">
                  <c:v>0.27083333333333393</c:v>
                </c:pt>
                <c:pt idx="3">
                  <c:v>0.31250000000000056</c:v>
                </c:pt>
                <c:pt idx="4">
                  <c:v>0.14583333333333365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2-4F4E-8B43-C8DCB098B9D5}"/>
            </c:ext>
          </c:extLst>
        </c:ser>
        <c:ser>
          <c:idx val="1"/>
          <c:order val="1"/>
          <c:tx>
            <c:strRef>
              <c:f>Total!$D$4</c:f>
              <c:strCache>
                <c:ptCount val="1"/>
                <c:pt idx="0">
                  <c:v>Excel</c:v>
                </c:pt>
              </c:strCache>
            </c:strRef>
          </c:tx>
          <c:spPr>
            <a:solidFill>
              <a:schemeClr val="accent6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Total!$B$5:$B$10</c15:sqref>
                  </c15:fullRef>
                </c:ext>
              </c:extLst>
              <c:f>Total!$B$5:$B$9</c:f>
              <c:strCache>
                <c:ptCount val="5"/>
                <c:pt idx="0">
                  <c:v>Jingyu</c:v>
                </c:pt>
                <c:pt idx="1">
                  <c:v>Amirhossein</c:v>
                </c:pt>
                <c:pt idx="2">
                  <c:v>Curtis</c:v>
                </c:pt>
                <c:pt idx="3">
                  <c:v>Zachary</c:v>
                </c:pt>
                <c:pt idx="4">
                  <c:v>Gang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Total!$D$5:$D$10</c15:sqref>
                  </c15:fullRef>
                </c:ext>
              </c:extLst>
              <c:f>Total!$D$5:$D$9</c:f>
              <c:numCache>
                <c:formatCode>h:mm;@</c:formatCode>
                <c:ptCount val="5"/>
                <c:pt idx="0">
                  <c:v>0.14583333333333337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4.1666666666666685E-2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22-4F4E-8B43-C8DCB098B9D5}"/>
            </c:ext>
          </c:extLst>
        </c:ser>
        <c:ser>
          <c:idx val="2"/>
          <c:order val="2"/>
          <c:tx>
            <c:strRef>
              <c:f>Total!$E$4</c:f>
              <c:strCache>
                <c:ptCount val="1"/>
                <c:pt idx="0">
                  <c:v>Visio</c:v>
                </c:pt>
              </c:strCache>
            </c:strRef>
          </c:tx>
          <c:spPr>
            <a:solidFill>
              <a:schemeClr val="accent5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Total!$B$5:$B$10</c15:sqref>
                  </c15:fullRef>
                </c:ext>
              </c:extLst>
              <c:f>Total!$B$5:$B$9</c:f>
              <c:strCache>
                <c:ptCount val="5"/>
                <c:pt idx="0">
                  <c:v>Jingyu</c:v>
                </c:pt>
                <c:pt idx="1">
                  <c:v>Amirhossein</c:v>
                </c:pt>
                <c:pt idx="2">
                  <c:v>Curtis</c:v>
                </c:pt>
                <c:pt idx="3">
                  <c:v>Zachary</c:v>
                </c:pt>
                <c:pt idx="4">
                  <c:v>Gang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Total!$E$5:$E$10</c15:sqref>
                  </c15:fullRef>
                </c:ext>
              </c:extLst>
              <c:f>Total!$E$5:$E$9</c:f>
              <c:numCache>
                <c:formatCode>h:mm;@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4.1666666666666741E-2</c:v>
                </c:pt>
                <c:pt idx="3">
                  <c:v>2.083333333333337E-2</c:v>
                </c:pt>
                <c:pt idx="4">
                  <c:v>0.14583333333333337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22-4F4E-8B43-C8DCB098B9D5}"/>
            </c:ext>
          </c:extLst>
        </c:ser>
        <c:ser>
          <c:idx val="3"/>
          <c:order val="3"/>
          <c:tx>
            <c:strRef>
              <c:f>Total!$F$4</c:f>
              <c:strCache>
                <c:ptCount val="1"/>
                <c:pt idx="0">
                  <c:v>PowerPoint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Total!$B$5:$B$10</c15:sqref>
                  </c15:fullRef>
                </c:ext>
              </c:extLst>
              <c:f>Total!$B$5:$B$9</c:f>
              <c:strCache>
                <c:ptCount val="5"/>
                <c:pt idx="0">
                  <c:v>Jingyu</c:v>
                </c:pt>
                <c:pt idx="1">
                  <c:v>Amirhossein</c:v>
                </c:pt>
                <c:pt idx="2">
                  <c:v>Curtis</c:v>
                </c:pt>
                <c:pt idx="3">
                  <c:v>Zachary</c:v>
                </c:pt>
                <c:pt idx="4">
                  <c:v>Gang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Total!$F$5:$F$10</c15:sqref>
                  </c15:fullRef>
                </c:ext>
              </c:extLst>
              <c:f>Total!$F$5:$F$9</c:f>
              <c:numCache>
                <c:formatCode>h:mm;@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4.1666666666666741E-2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22-4F4E-8B43-C8DCB098B9D5}"/>
            </c:ext>
          </c:extLst>
        </c:ser>
        <c:ser>
          <c:idx val="4"/>
          <c:order val="4"/>
          <c:tx>
            <c:strRef>
              <c:f>Total!$G$4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Total!$B$5:$B$10</c15:sqref>
                  </c15:fullRef>
                </c:ext>
              </c:extLst>
              <c:f>Total!$B$5:$B$9</c:f>
              <c:strCache>
                <c:ptCount val="5"/>
                <c:pt idx="0">
                  <c:v>Jingyu</c:v>
                </c:pt>
                <c:pt idx="1">
                  <c:v>Amirhossein</c:v>
                </c:pt>
                <c:pt idx="2">
                  <c:v>Curtis</c:v>
                </c:pt>
                <c:pt idx="3">
                  <c:v>Zachary</c:v>
                </c:pt>
                <c:pt idx="4">
                  <c:v>Gang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Total!$G$5:$G$10</c15:sqref>
                  </c15:fullRef>
                </c:ext>
              </c:extLst>
              <c:f>Total!$G$5:$G$9</c:f>
              <c:numCache>
                <c:formatCode>h:mm;@</c:formatCode>
                <c:ptCount val="5"/>
                <c:pt idx="0">
                  <c:v>0.66666666666666652</c:v>
                </c:pt>
                <c:pt idx="1">
                  <c:v>0.27083333333333326</c:v>
                </c:pt>
                <c:pt idx="2">
                  <c:v>0.31250000000000067</c:v>
                </c:pt>
                <c:pt idx="3">
                  <c:v>0.33333333333333393</c:v>
                </c:pt>
                <c:pt idx="4">
                  <c:v>0.37500000000000044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22-4F4E-8B43-C8DCB098B9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95597744"/>
        <c:axId val="1595609808"/>
      </c:barChart>
      <c:catAx>
        <c:axId val="1595597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609808"/>
        <c:crosses val="autoZero"/>
        <c:auto val="1"/>
        <c:lblAlgn val="ctr"/>
        <c:lblOffset val="100"/>
        <c:noMultiLvlLbl val="0"/>
      </c:catAx>
      <c:valAx>
        <c:axId val="1595609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h: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9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290706044015966"/>
          <c:y val="0.1804399970836979"/>
          <c:w val="0.75960629921259848"/>
          <c:h val="0.75474518810148727"/>
        </c:manualLayout>
      </c:layout>
      <c:pie3DChart>
        <c:varyColors val="1"/>
        <c:ser>
          <c:idx val="5"/>
          <c:order val="5"/>
          <c:tx>
            <c:strRef>
              <c:f>Total!$B$10</c:f>
              <c:strCache>
                <c:ptCount val="1"/>
                <c:pt idx="0">
                  <c:v>Work time per item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971E-4B1A-A7D4-F5889553D37B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971E-4B1A-A7D4-F5889553D37B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971E-4B1A-A7D4-F5889553D37B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971E-4B1A-A7D4-F5889553D37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Total!$C$4:$F$4</c:f>
              <c:strCache>
                <c:ptCount val="4"/>
                <c:pt idx="0">
                  <c:v>Website</c:v>
                </c:pt>
                <c:pt idx="1">
                  <c:v>Excel</c:v>
                </c:pt>
                <c:pt idx="2">
                  <c:v>Visio</c:v>
                </c:pt>
                <c:pt idx="3">
                  <c:v>PowerPoint</c:v>
                </c:pt>
              </c:strCache>
            </c:strRef>
          </c:cat>
          <c:val>
            <c:numRef>
              <c:f>Total!$C$10:$F$10</c:f>
              <c:numCache>
                <c:formatCode>h:mm;@</c:formatCode>
                <c:ptCount val="4"/>
                <c:pt idx="0">
                  <c:v>1.5208333333333346</c:v>
                </c:pt>
                <c:pt idx="1">
                  <c:v>0.18750000000000006</c:v>
                </c:pt>
                <c:pt idx="2">
                  <c:v>0.20833333333333348</c:v>
                </c:pt>
                <c:pt idx="3">
                  <c:v>4.1666666666666741E-2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1E-4B1A-A7D4-F5889553D3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Total!$B$5</c15:sqref>
                        </c15:formulaRef>
                      </c:ext>
                    </c:extLst>
                    <c:strCache>
                      <c:ptCount val="1"/>
                      <c:pt idx="0">
                        <c:v>Jingyu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9-1E19-41DF-83E3-75127CA9A0C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B-1E19-41DF-83E3-75127CA9A0C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D-1E19-41DF-83E3-75127CA9A0C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0F-1E19-41DF-83E3-75127CA9A0C7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Total!$C$4:$F$4</c15:sqref>
                        </c15:formulaRef>
                      </c:ext>
                    </c:extLst>
                    <c:strCache>
                      <c:ptCount val="4"/>
                      <c:pt idx="0">
                        <c:v>Website</c:v>
                      </c:pt>
                      <c:pt idx="1">
                        <c:v>Excel</c:v>
                      </c:pt>
                      <c:pt idx="2">
                        <c:v>Visio</c:v>
                      </c:pt>
                      <c:pt idx="3">
                        <c:v>PowerPoint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Total!$C$5:$F$5</c15:sqref>
                        </c15:formulaRef>
                      </c:ext>
                    </c:extLst>
                    <c:numCache>
                      <c:formatCode>h:mm;@</c:formatCode>
                      <c:ptCount val="4"/>
                      <c:pt idx="0">
                        <c:v>0.52083333333333315</c:v>
                      </c:pt>
                      <c:pt idx="1">
                        <c:v>0.14583333333333337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71E-4B1A-A7D4-F5889553D37B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Total!$B$6</c15:sqref>
                        </c15:formulaRef>
                      </c:ext>
                    </c:extLst>
                    <c:strCache>
                      <c:ptCount val="1"/>
                      <c:pt idx="0">
                        <c:v>Amirhossein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1E19-41DF-83E3-75127CA9A0C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1E19-41DF-83E3-75127CA9A0C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1E19-41DF-83E3-75127CA9A0C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1E19-41DF-83E3-75127CA9A0C7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Total!$C$4:$F$4</c15:sqref>
                        </c15:formulaRef>
                      </c:ext>
                    </c:extLst>
                    <c:strCache>
                      <c:ptCount val="4"/>
                      <c:pt idx="0">
                        <c:v>Website</c:v>
                      </c:pt>
                      <c:pt idx="1">
                        <c:v>Excel</c:v>
                      </c:pt>
                      <c:pt idx="2">
                        <c:v>Visio</c:v>
                      </c:pt>
                      <c:pt idx="3">
                        <c:v>PowerPoint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Total!$C$6:$F$6</c15:sqref>
                        </c15:formulaRef>
                      </c:ext>
                    </c:extLst>
                    <c:numCache>
                      <c:formatCode>h:mm;@</c:formatCode>
                      <c:ptCount val="4"/>
                      <c:pt idx="0">
                        <c:v>0.27083333333333326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71E-4B1A-A7D4-F5889553D37B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Total!$B$7</c15:sqref>
                        </c15:formulaRef>
                      </c:ext>
                    </c:extLst>
                    <c:strCache>
                      <c:ptCount val="1"/>
                      <c:pt idx="0">
                        <c:v>Curtis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1E19-41DF-83E3-75127CA9A0C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1E19-41DF-83E3-75127CA9A0C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1E19-41DF-83E3-75127CA9A0C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1E19-41DF-83E3-75127CA9A0C7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Total!$C$4:$F$4</c15:sqref>
                        </c15:formulaRef>
                      </c:ext>
                    </c:extLst>
                    <c:strCache>
                      <c:ptCount val="4"/>
                      <c:pt idx="0">
                        <c:v>Website</c:v>
                      </c:pt>
                      <c:pt idx="1">
                        <c:v>Excel</c:v>
                      </c:pt>
                      <c:pt idx="2">
                        <c:v>Visio</c:v>
                      </c:pt>
                      <c:pt idx="3">
                        <c:v>PowerPoint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Total!$C$7:$F$7</c15:sqref>
                        </c15:formulaRef>
                      </c:ext>
                    </c:extLst>
                    <c:numCache>
                      <c:formatCode>h:mm;@</c:formatCode>
                      <c:ptCount val="4"/>
                      <c:pt idx="0">
                        <c:v>0.27083333333333393</c:v>
                      </c:pt>
                      <c:pt idx="1">
                        <c:v>0</c:v>
                      </c:pt>
                      <c:pt idx="2">
                        <c:v>4.1666666666666741E-2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71E-4B1A-A7D4-F5889553D37B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Total!$B$8</c15:sqref>
                        </c15:formulaRef>
                      </c:ext>
                    </c:extLst>
                    <c:strCache>
                      <c:ptCount val="1"/>
                      <c:pt idx="0">
                        <c:v>Zachary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1E19-41DF-83E3-75127CA9A0C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1E19-41DF-83E3-75127CA9A0C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1E19-41DF-83E3-75127CA9A0C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1E19-41DF-83E3-75127CA9A0C7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Total!$C$4:$F$4</c15:sqref>
                        </c15:formulaRef>
                      </c:ext>
                    </c:extLst>
                    <c:strCache>
                      <c:ptCount val="4"/>
                      <c:pt idx="0">
                        <c:v>Website</c:v>
                      </c:pt>
                      <c:pt idx="1">
                        <c:v>Excel</c:v>
                      </c:pt>
                      <c:pt idx="2">
                        <c:v>Visio</c:v>
                      </c:pt>
                      <c:pt idx="3">
                        <c:v>PowerPoint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Total!$C$8:$F$8</c15:sqref>
                        </c15:formulaRef>
                      </c:ext>
                    </c:extLst>
                    <c:numCache>
                      <c:formatCode>h:mm;@</c:formatCode>
                      <c:ptCount val="4"/>
                      <c:pt idx="0">
                        <c:v>0.31250000000000056</c:v>
                      </c:pt>
                      <c:pt idx="1">
                        <c:v>0</c:v>
                      </c:pt>
                      <c:pt idx="2">
                        <c:v>2.083333333333337E-2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71E-4B1A-A7D4-F5889553D37B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Total!$B$9</c15:sqref>
                        </c15:formulaRef>
                      </c:ext>
                    </c:extLst>
                    <c:strCache>
                      <c:ptCount val="1"/>
                      <c:pt idx="0">
                        <c:v>Gang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1E19-41DF-83E3-75127CA9A0C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1E19-41DF-83E3-75127CA9A0C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1E19-41DF-83E3-75127CA9A0C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  <a:sp3d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1E19-41DF-83E3-75127CA9A0C7}"/>
                    </c:ext>
                  </c:extLst>
                </c:dPt>
                <c:dLbls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Total!$C$4:$F$4</c15:sqref>
                        </c15:formulaRef>
                      </c:ext>
                    </c:extLst>
                    <c:strCache>
                      <c:ptCount val="4"/>
                      <c:pt idx="0">
                        <c:v>Website</c:v>
                      </c:pt>
                      <c:pt idx="1">
                        <c:v>Excel</c:v>
                      </c:pt>
                      <c:pt idx="2">
                        <c:v>Visio</c:v>
                      </c:pt>
                      <c:pt idx="3">
                        <c:v>PowerPoint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Total!$C$9:$F$9</c15:sqref>
                        </c15:formulaRef>
                      </c:ext>
                    </c:extLst>
                    <c:numCache>
                      <c:formatCode>h:mm;@</c:formatCode>
                      <c:ptCount val="4"/>
                      <c:pt idx="0">
                        <c:v>0.14583333333333365</c:v>
                      </c:pt>
                      <c:pt idx="1">
                        <c:v>4.1666666666666685E-2</c:v>
                      </c:pt>
                      <c:pt idx="2">
                        <c:v>0.14583333333333337</c:v>
                      </c:pt>
                      <c:pt idx="3">
                        <c:v>4.1666666666666741E-2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71E-4B1A-A7D4-F5889553D37B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57150</xdr:rowOff>
    </xdr:from>
    <xdr:to>
      <xdr:col>6</xdr:col>
      <xdr:colOff>1181100</xdr:colOff>
      <xdr:row>30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CF9685-2F56-494C-B15A-AD21724F1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31</xdr:row>
      <xdr:rowOff>152400</xdr:rowOff>
    </xdr:from>
    <xdr:to>
      <xdr:col>7</xdr:col>
      <xdr:colOff>0</xdr:colOff>
      <xdr:row>44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4A8B3D-729F-4C0D-8576-7EB62F69F346}"/>
            </a:ext>
            <a:ext uri="{147F2762-F138-4A5C-976F-8EAC2B608ADB}">
              <a16:predDERef xmlns:a16="http://schemas.microsoft.com/office/drawing/2014/main" pred="{BCCF9685-2F56-494C-B15A-AD21724F1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DFBBB0-15C0-437F-A43C-A6D30E724103}" name="Table36" displayName="Table36" ref="B4:G21" totalsRowShown="0" headerRowDxfId="71" dataDxfId="70">
  <tableColumns count="6">
    <tableColumn id="1" xr3:uid="{4FF63DDC-38DC-4950-9FFA-C658A2242C1E}" name="Name" dataDxfId="69"/>
    <tableColumn id="2" xr3:uid="{5565C589-08D0-48C5-8EBB-4A29ED28B891}" name="Day" dataDxfId="68"/>
    <tableColumn id="3" xr3:uid="{9BFB82D3-37B3-4483-8A50-CC21067A7300}" name="Time From" dataDxfId="67"/>
    <tableColumn id="6" xr3:uid="{63CB6D46-3CD7-48D7-83DD-9643995D4B29}" name="Time To" dataDxfId="66"/>
    <tableColumn id="4" xr3:uid="{B44ED379-7346-422E-9710-B5C12E228807}" name="Done-did List" dataDxfId="65"/>
    <tableColumn id="5" xr3:uid="{6133B534-68EE-4330-94BC-400587B929F7}" name="Working Hours" dataDxfId="64">
      <calculatedColumnFormula>Table36[[#This Row],[Time To]]-Table36[[#This Row],[Time From]]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071136B-A854-4EB4-818C-08848CEFA9FC}" name="Table9" displayName="Table9" ref="B24:C29" totalsRowShown="0" headerRowDxfId="63" dataDxfId="62">
  <tableColumns count="2">
    <tableColumn id="1" xr3:uid="{E085770F-4597-479D-A2CA-4E8593451943}" name="Name" dataDxfId="61"/>
    <tableColumn id="2" xr3:uid="{A5D804C1-8994-4DD8-957F-581EC9883821}" name="Total Working Hours" dataDxfId="60">
      <calculatedColumnFormula>SUMIF(Table36[Name],Table9[[#This Row],[Name]],Table36[Working Hours])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6619976-3F59-4A60-9910-6843595D42A9}" name="Table14" displayName="Table14" ref="E24:F28" totalsRowShown="0" headerRowDxfId="59" dataDxfId="58">
  <tableColumns count="2">
    <tableColumn id="1" xr3:uid="{8B55B91E-0844-4026-8438-BAF85C2D8C8D}" name=" " dataDxfId="57"/>
    <tableColumn id="2" xr3:uid="{0038FC7D-BE89-45CB-9CAB-8B1449BE209B}" name="Guide" dataDxfId="56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A926FC-8A31-4A31-826E-AFCD13480640}" name="Table3" displayName="Table3" ref="B4:G10" totalsRowShown="0" headerRowDxfId="55" dataDxfId="54">
  <tableColumns count="6">
    <tableColumn id="1" xr3:uid="{F16044F3-86A6-4DF4-9033-3F17817DCC4B}" name="Name" dataDxfId="53"/>
    <tableColumn id="2" xr3:uid="{2C678640-BBE2-4D42-97DB-0A83780A7968}" name="Day" dataDxfId="52"/>
    <tableColumn id="3" xr3:uid="{8D3C830D-4AE8-4B11-86EC-87BBF7DCD404}" name="Time From" dataDxfId="51"/>
    <tableColumn id="6" xr3:uid="{8011A58A-C10B-41DE-BABC-08BD451ADD4F}" name="Time To" dataDxfId="50"/>
    <tableColumn id="4" xr3:uid="{7999F230-81A7-47D6-9010-A9F977DFCB2D}" name="Done-did List" dataDxfId="49"/>
    <tableColumn id="5" xr3:uid="{41D126AC-373B-448B-81DC-D28AFEF1A477}" name="Working Hours" dataDxfId="48">
      <calculatedColumnFormula>Table3[[#This Row],[Time To]]-Table3[[#This Row],[Time From]]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B18222-9D84-495B-84DE-94DDFF23ACC0}" name="Table911" displayName="Table911" ref="B14:C19" totalsRowShown="0" headerRowDxfId="47" dataDxfId="46">
  <tableColumns count="2">
    <tableColumn id="1" xr3:uid="{051C59E1-D23C-4E6D-B681-3CB45A1A7D03}" name="Name" dataDxfId="45"/>
    <tableColumn id="2" xr3:uid="{289CB891-D263-466C-A19B-2800F991BBF4}" name="Total Working Hours" dataDxfId="44">
      <calculatedColumnFormula>SUMIF(Table3[Name],Table911[[#This Row],[Name]],Table3[Working Hours])</calculatedColumnFormula>
    </tableColumn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1FE337D-CFB1-42F8-AB00-2D2DA65C6CAB}" name="Table1416" displayName="Table1416" ref="E14:F18" totalsRowShown="0" headerRowDxfId="43" dataDxfId="42">
  <tableColumns count="2">
    <tableColumn id="1" xr3:uid="{003BF8E2-0A8F-4B26-A352-8771FE1C69A4}" name=" " dataDxfId="41"/>
    <tableColumn id="2" xr3:uid="{9F9E2F0C-FD31-4040-8A8D-88A7A9C99343}" name="Guide" dataDxfId="40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E4CEBB-D4D4-41D3-9A53-1ED11E9B627B}" name="Table37" displayName="Table37" ref="B4:G9" totalsRowShown="0" headerRowDxfId="39" dataDxfId="38">
  <tableColumns count="6">
    <tableColumn id="1" xr3:uid="{FA76DB21-5CEB-4561-A50A-5270DE8B2D78}" name="Name" dataDxfId="37"/>
    <tableColumn id="2" xr3:uid="{8592289F-94D5-4BFD-B47F-F4D40CFC9C93}" name="Day" dataDxfId="36"/>
    <tableColumn id="3" xr3:uid="{ABA512C5-E96D-407D-B7B4-387F0ABE7521}" name="Time From" dataDxfId="35"/>
    <tableColumn id="6" xr3:uid="{86DC1AEB-2799-4F83-8E62-D0969425995F}" name="Time To" dataDxfId="34"/>
    <tableColumn id="4" xr3:uid="{30C2FAAD-AEA9-4DC8-9FCB-CA7050AC8440}" name="Done-did List" dataDxfId="33"/>
    <tableColumn id="5" xr3:uid="{B8E7C65F-A466-4489-B401-18B1D7CCD2EC}" name="Working Hours" dataDxfId="32">
      <calculatedColumnFormula>Table37[[#This Row],[Time To]]-Table37[[#This Row],[Time From]]</calculatedColumnFormula>
    </tableColumn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694367-665E-4067-AC0A-D9AB10B21359}" name="Table91112" displayName="Table91112" ref="B14:C19" totalsRowShown="0" headerRowDxfId="31" dataDxfId="30">
  <tableColumns count="2">
    <tableColumn id="1" xr3:uid="{474DB110-6033-4EB0-BF83-8C782E2A7D16}" name="Name" dataDxfId="29"/>
    <tableColumn id="2" xr3:uid="{2DD88F13-354A-4EB5-8D44-6082B315C71A}" name="Total Working Hours" dataDxfId="28">
      <calculatedColumnFormula>SUMIF(Table37[Name],Table91112[[#This Row],[Name]],Table37[Working Hours])</calculatedColumnFormula>
    </tableColumn>
  </tableColumns>
  <tableStyleInfo name="TableStyleMedium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A64A400-8DBC-48CD-BEC8-F5B915DFD794}" name="Table1417" displayName="Table1417" ref="E14:F18" totalsRowShown="0" headerRowDxfId="27" dataDxfId="26">
  <tableColumns count="2">
    <tableColumn id="1" xr3:uid="{02F935DC-1E7C-43FE-B1B9-D12A7BDCAECF}" name=" " dataDxfId="25"/>
    <tableColumn id="2" xr3:uid="{1E2C6714-7F71-4158-BA19-64F23FB20AC4}" name="Guide" dataDxfId="24"/>
  </tableColumns>
  <tableStyleInfo name="TableStyleLight2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FAC9EA3-3D64-4821-8E50-EC4DFA6538D7}" name="Table38" displayName="Table38" ref="B4:G9" totalsRowShown="0" headerRowDxfId="23" dataDxfId="22">
  <tableColumns count="6">
    <tableColumn id="1" xr3:uid="{D89757DB-5109-49B1-8BC3-0800BBA5BF50}" name="Name" dataDxfId="21"/>
    <tableColumn id="2" xr3:uid="{CE89F506-2510-47D5-BC85-21EE31514603}" name="Day" dataDxfId="20"/>
    <tableColumn id="3" xr3:uid="{83F32809-E1B9-4844-9824-11EFA1CD45B9}" name="Time From" dataDxfId="19"/>
    <tableColumn id="6" xr3:uid="{BC15FCC6-9CF7-49A9-9E4C-EED06C9ADF04}" name="Time To" dataDxfId="18"/>
    <tableColumn id="4" xr3:uid="{4EEB6D36-E0A9-449E-B6E3-3DE9B10FC817}" name="Done-did List" dataDxfId="17"/>
    <tableColumn id="5" xr3:uid="{ADA2FA8E-DF0D-4E38-A375-7F6203140943}" name="Working Hours" dataDxfId="16">
      <calculatedColumnFormula>Table38[[#This Row],[Time To]]-Table38[[#This Row],[Time From]]</calculatedColumnFormula>
    </tableColumn>
  </tableColumns>
  <tableStyleInfo name="TableStyleMedium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B44AD29-486E-4872-B193-BD6554D4A56F}" name="Table91113" displayName="Table91113" ref="B14:C19" totalsRowShown="0" headerRowDxfId="15" dataDxfId="14">
  <tableColumns count="2">
    <tableColumn id="1" xr3:uid="{ED41A83B-795C-44D0-AC8B-4443A2613C54}" name="Name" dataDxfId="13"/>
    <tableColumn id="2" xr3:uid="{E83CE485-2720-4165-A001-04865B93C396}" name="Total Working Hours" dataDxfId="12">
      <calculatedColumnFormula>SUMIF(Table38[Name],Table91113[[#This Row],[Name]],Table38[Working Hours])</calculatedColumnFormula>
    </tableColumn>
  </tableColumns>
  <tableStyleInfo name="TableStyleMedium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D83CE2-0B11-48C5-881B-BD62B714CD2F}" name="Table1418" displayName="Table1418" ref="E14:F18" totalsRowShown="0" headerRowDxfId="11" dataDxfId="10">
  <tableColumns count="2">
    <tableColumn id="1" xr3:uid="{A27ED87C-405D-4BFA-98E2-762E493B761C}" name=" " dataDxfId="9"/>
    <tableColumn id="2" xr3:uid="{5869B490-53FF-4DDF-9F51-B5F0E3079872}" name="Guide" dataDxfId="8"/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B6927A-BEE8-460A-B1B9-0F467B3130C9}" name="Table8" displayName="Table8" ref="B4:G10" totalsRowShown="0" headerRowDxfId="7" dataDxfId="6">
  <tableColumns count="6">
    <tableColumn id="1" xr3:uid="{17BA44CF-2B52-4B6A-B8E2-5B5FE75F1E5B}" name="Name" dataDxfId="5"/>
    <tableColumn id="2" xr3:uid="{C3A5014F-337C-43B5-852E-39A6A1E1D67C}" name="Website" dataDxfId="4">
      <calculatedColumnFormula>Website!C25</calculatedColumnFormula>
    </tableColumn>
    <tableColumn id="3" xr3:uid="{0A80EB1D-ED24-4AA0-A583-18C1BF4FAB3D}" name="Excel" dataDxfId="3">
      <calculatedColumnFormula>Excel!C15</calculatedColumnFormula>
    </tableColumn>
    <tableColumn id="4" xr3:uid="{7CD4809C-28AB-40C1-BB8C-A1394526B695}" name="Visio" dataDxfId="2">
      <calculatedColumnFormula>'Visio-Word'!C15</calculatedColumnFormula>
    </tableColumn>
    <tableColumn id="5" xr3:uid="{38BF2D6F-33ED-46B0-828F-DA80B7E1D28B}" name="PowerPoint" dataDxfId="1">
      <calculatedColumnFormula>PowerPoint!C15</calculatedColumnFormula>
    </tableColumn>
    <tableColumn id="6" xr3:uid="{99A324B2-3C05-489A-A345-D49881AD2F99}" name="Total" dataDxfId="0">
      <calculatedColumnFormula>SUM(Table8[[#This Row],[Website]:[PowerPoint]])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32C0-C671-4E95-9E79-7690065E2BE6}">
  <dimension ref="B3:G29"/>
  <sheetViews>
    <sheetView workbookViewId="0">
      <selection activeCell="F25" sqref="F25:F28"/>
    </sheetView>
  </sheetViews>
  <sheetFormatPr defaultRowHeight="15"/>
  <cols>
    <col min="1" max="1" width="9" style="7"/>
    <col min="2" max="2" width="12.5" style="7" customWidth="1"/>
    <col min="3" max="3" width="11.875" style="7" customWidth="1"/>
    <col min="4" max="5" width="13.625" style="7" customWidth="1"/>
    <col min="6" max="6" width="35.625" style="7" customWidth="1"/>
    <col min="7" max="7" width="15.625" style="7" customWidth="1"/>
    <col min="8" max="16384" width="9" style="7"/>
  </cols>
  <sheetData>
    <row r="3" spans="2:7">
      <c r="B3" s="16"/>
      <c r="C3" s="16"/>
      <c r="D3" s="16"/>
      <c r="E3" s="16"/>
      <c r="F3" s="16"/>
      <c r="G3" s="16"/>
    </row>
    <row r="4" spans="2:7" ht="30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5" t="s">
        <v>5</v>
      </c>
    </row>
    <row r="5" spans="2:7">
      <c r="B5" s="3" t="s">
        <v>6</v>
      </c>
      <c r="C5" s="3" t="s">
        <v>7</v>
      </c>
      <c r="D5" s="6">
        <v>0.5625</v>
      </c>
      <c r="E5" s="6">
        <v>0.60416666666666663</v>
      </c>
      <c r="F5" s="3" t="s">
        <v>8</v>
      </c>
      <c r="G5" s="4">
        <f>Table36[[#This Row],[Time To]]-Table36[[#This Row],[Time From]]</f>
        <v>4.166666666666663E-2</v>
      </c>
    </row>
    <row r="6" spans="2:7">
      <c r="B6" s="3" t="s">
        <v>9</v>
      </c>
      <c r="C6" s="3" t="s">
        <v>7</v>
      </c>
      <c r="D6" s="6">
        <v>0.5625</v>
      </c>
      <c r="E6" s="6">
        <v>0.60416666666666663</v>
      </c>
      <c r="F6" s="3" t="s">
        <v>8</v>
      </c>
      <c r="G6" s="4">
        <f>Table36[[#This Row],[Time To]]-Table36[[#This Row],[Time From]]</f>
        <v>4.166666666666663E-2</v>
      </c>
    </row>
    <row r="7" spans="2:7">
      <c r="B7" s="3" t="s">
        <v>10</v>
      </c>
      <c r="C7" s="3" t="s">
        <v>7</v>
      </c>
      <c r="D7" s="6">
        <v>0.5625</v>
      </c>
      <c r="E7" s="6">
        <v>0.60416666666666696</v>
      </c>
      <c r="F7" s="3" t="s">
        <v>8</v>
      </c>
      <c r="G7" s="4">
        <f>Table36[[#This Row],[Time To]]-Table36[[#This Row],[Time From]]</f>
        <v>4.1666666666666963E-2</v>
      </c>
    </row>
    <row r="8" spans="2:7">
      <c r="B8" s="3" t="s">
        <v>11</v>
      </c>
      <c r="C8" s="3" t="s">
        <v>7</v>
      </c>
      <c r="D8" s="6">
        <v>0.5625</v>
      </c>
      <c r="E8" s="6">
        <v>0.60416666666666696</v>
      </c>
      <c r="F8" s="3" t="s">
        <v>8</v>
      </c>
      <c r="G8" s="4">
        <f>Table36[[#This Row],[Time To]]-Table36[[#This Row],[Time From]]</f>
        <v>4.1666666666666963E-2</v>
      </c>
    </row>
    <row r="9" spans="2:7">
      <c r="B9" s="3" t="s">
        <v>12</v>
      </c>
      <c r="C9" s="3" t="s">
        <v>7</v>
      </c>
      <c r="D9" s="6">
        <v>0.5625</v>
      </c>
      <c r="E9" s="6">
        <v>0.60416666666666696</v>
      </c>
      <c r="F9" s="3" t="s">
        <v>8</v>
      </c>
      <c r="G9" s="4">
        <f>Table36[[#This Row],[Time To]]-Table36[[#This Row],[Time From]]</f>
        <v>4.1666666666666963E-2</v>
      </c>
    </row>
    <row r="10" spans="2:7">
      <c r="B10" s="10" t="s">
        <v>13</v>
      </c>
      <c r="C10" s="10" t="s">
        <v>14</v>
      </c>
      <c r="D10" s="11">
        <v>0.89583333333333337</v>
      </c>
      <c r="E10" s="11">
        <v>0.97916666666666663</v>
      </c>
      <c r="F10" s="10" t="s">
        <v>15</v>
      </c>
      <c r="G10" s="4">
        <f>Table36[[#This Row],[Time To]]-Table36[[#This Row],[Time From]]</f>
        <v>8.3333333333333259E-2</v>
      </c>
    </row>
    <row r="11" spans="2:7">
      <c r="B11" s="12" t="s">
        <v>13</v>
      </c>
      <c r="C11" s="12" t="s">
        <v>16</v>
      </c>
      <c r="D11" s="13">
        <v>0.375</v>
      </c>
      <c r="E11" s="13">
        <v>0.5</v>
      </c>
      <c r="F11" s="12" t="s">
        <v>17</v>
      </c>
      <c r="G11" s="4">
        <f>Table36[[#This Row],[Time To]]-Table36[[#This Row],[Time From]]</f>
        <v>0.125</v>
      </c>
    </row>
    <row r="12" spans="2:7">
      <c r="B12" s="10" t="s">
        <v>18</v>
      </c>
      <c r="C12" s="10" t="s">
        <v>16</v>
      </c>
      <c r="D12" s="11">
        <v>0.375</v>
      </c>
      <c r="E12" s="11">
        <v>0.5</v>
      </c>
      <c r="F12" s="10" t="s">
        <v>19</v>
      </c>
      <c r="G12" s="4">
        <f>Table36[[#This Row],[Time To]]-Table36[[#This Row],[Time From]]</f>
        <v>0.125</v>
      </c>
    </row>
    <row r="13" spans="2:7">
      <c r="B13" s="12" t="s">
        <v>20</v>
      </c>
      <c r="C13" s="12" t="s">
        <v>16</v>
      </c>
      <c r="D13" s="13">
        <v>0.375</v>
      </c>
      <c r="E13" s="13">
        <v>0.5</v>
      </c>
      <c r="F13" s="12" t="s">
        <v>21</v>
      </c>
      <c r="G13" s="4">
        <f>Table36[[#This Row],[Time To]]-Table36[[#This Row],[Time From]]</f>
        <v>0.125</v>
      </c>
    </row>
    <row r="14" spans="2:7">
      <c r="B14" s="10" t="s">
        <v>22</v>
      </c>
      <c r="C14" s="10" t="s">
        <v>16</v>
      </c>
      <c r="D14" s="11">
        <v>0.375</v>
      </c>
      <c r="E14" s="11">
        <v>0.5</v>
      </c>
      <c r="F14" s="10" t="s">
        <v>23</v>
      </c>
      <c r="G14" s="4">
        <f>Table36[[#This Row],[Time To]]-Table36[[#This Row],[Time From]]</f>
        <v>0.125</v>
      </c>
    </row>
    <row r="15" spans="2:7">
      <c r="B15" s="12" t="s">
        <v>24</v>
      </c>
      <c r="C15" s="12" t="s">
        <v>16</v>
      </c>
      <c r="D15" s="13">
        <v>0.375</v>
      </c>
      <c r="E15" s="13">
        <v>0.45833333333333331</v>
      </c>
      <c r="F15" s="12" t="s">
        <v>25</v>
      </c>
      <c r="G15" s="4">
        <f>Table36[[#This Row],[Time To]]-Table36[[#This Row],[Time From]]</f>
        <v>8.3333333333333315E-2</v>
      </c>
    </row>
    <row r="16" spans="2:7">
      <c r="B16" s="12" t="s">
        <v>13</v>
      </c>
      <c r="C16" s="14" t="s">
        <v>16</v>
      </c>
      <c r="D16" s="15">
        <v>0.52083333333333337</v>
      </c>
      <c r="E16" s="15">
        <v>0.6875</v>
      </c>
      <c r="F16" s="14" t="s">
        <v>26</v>
      </c>
      <c r="G16" s="4">
        <f>Table36[[#This Row],[Time To]]-Table36[[#This Row],[Time From]]</f>
        <v>0.16666666666666663</v>
      </c>
    </row>
    <row r="17" spans="2:7">
      <c r="B17" s="10" t="s">
        <v>18</v>
      </c>
      <c r="C17" s="14" t="s">
        <v>16</v>
      </c>
      <c r="D17" s="15">
        <v>0.52083333333333337</v>
      </c>
      <c r="E17" s="15">
        <v>0.625</v>
      </c>
      <c r="F17" s="14" t="s">
        <v>27</v>
      </c>
      <c r="G17" s="4">
        <f>Table36[[#This Row],[Time To]]-Table36[[#This Row],[Time From]]</f>
        <v>0.10416666666666663</v>
      </c>
    </row>
    <row r="18" spans="2:7">
      <c r="B18" s="12" t="s">
        <v>20</v>
      </c>
      <c r="C18" s="14" t="s">
        <v>16</v>
      </c>
      <c r="D18" s="15">
        <v>0.52083333333333304</v>
      </c>
      <c r="E18" s="15">
        <v>0.625</v>
      </c>
      <c r="F18" s="14" t="s">
        <v>28</v>
      </c>
      <c r="G18" s="4">
        <f>Table36[[#This Row],[Time To]]-Table36[[#This Row],[Time From]]</f>
        <v>0.10416666666666696</v>
      </c>
    </row>
    <row r="19" spans="2:7">
      <c r="B19" s="10" t="s">
        <v>22</v>
      </c>
      <c r="C19" s="12" t="s">
        <v>16</v>
      </c>
      <c r="D19" s="15">
        <v>0.52083333333333304</v>
      </c>
      <c r="E19" s="15">
        <v>0.66666666666666663</v>
      </c>
      <c r="F19" s="12" t="s">
        <v>29</v>
      </c>
      <c r="G19" s="4">
        <f>Table36[[#This Row],[Time To]]-Table36[[#This Row],[Time From]]</f>
        <v>0.14583333333333359</v>
      </c>
    </row>
    <row r="20" spans="2:7">
      <c r="B20" s="14" t="s">
        <v>24</v>
      </c>
      <c r="C20" s="14" t="s">
        <v>16</v>
      </c>
      <c r="D20" s="15">
        <v>0.5</v>
      </c>
      <c r="E20" s="15">
        <v>0.52083333333333337</v>
      </c>
      <c r="F20" s="14" t="s">
        <v>25</v>
      </c>
      <c r="G20" s="4">
        <f>Table36[[#This Row],[Time To]]-Table36[[#This Row],[Time From]]</f>
        <v>2.083333333333337E-2</v>
      </c>
    </row>
    <row r="21" spans="2:7">
      <c r="B21" s="14" t="s">
        <v>13</v>
      </c>
      <c r="C21" s="14" t="s">
        <v>16</v>
      </c>
      <c r="D21" s="15">
        <v>0.77083333333333337</v>
      </c>
      <c r="E21" s="15">
        <v>0.875</v>
      </c>
      <c r="F21" s="14" t="s">
        <v>30</v>
      </c>
      <c r="G21" s="4">
        <f>Table36[[#This Row],[Time To]]-Table36[[#This Row],[Time From]]</f>
        <v>0.10416666666666663</v>
      </c>
    </row>
    <row r="24" spans="2:7" ht="47.25">
      <c r="B24" s="3" t="s">
        <v>0</v>
      </c>
      <c r="C24" s="5" t="s">
        <v>31</v>
      </c>
      <c r="D24" s="3"/>
      <c r="E24" s="3" t="s">
        <v>32</v>
      </c>
      <c r="F24" s="3" t="s">
        <v>33</v>
      </c>
    </row>
    <row r="25" spans="2:7">
      <c r="B25" s="3" t="s">
        <v>6</v>
      </c>
      <c r="C25" s="4">
        <f>SUMIF(Table36[Name],Table9[[#This Row],[Name]],Table36[Working Hours])</f>
        <v>0.52083333333333315</v>
      </c>
      <c r="D25" s="3"/>
      <c r="E25" s="3">
        <v>1</v>
      </c>
      <c r="F25" s="8" t="s">
        <v>34</v>
      </c>
    </row>
    <row r="26" spans="2:7">
      <c r="B26" s="3" t="s">
        <v>9</v>
      </c>
      <c r="C26" s="4">
        <f>SUMIF(Table36[Name],Table9[[#This Row],[Name]],Table36[Working Hours])</f>
        <v>0.27083333333333326</v>
      </c>
      <c r="D26" s="3"/>
      <c r="E26" s="3">
        <v>2</v>
      </c>
      <c r="F26" s="8" t="s">
        <v>35</v>
      </c>
    </row>
    <row r="27" spans="2:7">
      <c r="B27" s="3" t="s">
        <v>10</v>
      </c>
      <c r="C27" s="4">
        <f>SUMIF(Table36[Name],Table9[[#This Row],[Name]],Table36[Working Hours])</f>
        <v>0.27083333333333393</v>
      </c>
      <c r="D27" s="3"/>
      <c r="E27" s="3">
        <v>3</v>
      </c>
      <c r="F27" s="8" t="s">
        <v>36</v>
      </c>
    </row>
    <row r="28" spans="2:7" ht="31.5">
      <c r="B28" s="3" t="s">
        <v>11</v>
      </c>
      <c r="C28" s="4">
        <f>SUMIF(Table36[Name],Table9[[#This Row],[Name]],Table36[Working Hours])</f>
        <v>0.31250000000000056</v>
      </c>
      <c r="D28" s="3"/>
      <c r="E28" s="3">
        <v>4</v>
      </c>
      <c r="F28" s="9" t="s">
        <v>37</v>
      </c>
    </row>
    <row r="29" spans="2:7">
      <c r="B29" s="3" t="s">
        <v>12</v>
      </c>
      <c r="C29" s="4">
        <f>SUMIF(Table36[Name],Table9[[#This Row],[Name]],Table36[Working Hours])</f>
        <v>0.14583333333333365</v>
      </c>
      <c r="D29" s="3"/>
      <c r="E29" s="3"/>
    </row>
  </sheetData>
  <mergeCells count="1">
    <mergeCell ref="B3:G3"/>
  </mergeCells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59B4-FE30-46AC-AEF9-DCD3CB52AB4B}">
  <dimension ref="B4:G19"/>
  <sheetViews>
    <sheetView workbookViewId="0">
      <selection activeCell="F11" sqref="F11"/>
    </sheetView>
  </sheetViews>
  <sheetFormatPr defaultRowHeight="15"/>
  <cols>
    <col min="1" max="1" width="9" style="7"/>
    <col min="2" max="2" width="12.5" style="7" customWidth="1"/>
    <col min="3" max="3" width="11.875" style="7" customWidth="1"/>
    <col min="4" max="5" width="13.625" style="7" customWidth="1"/>
    <col min="6" max="6" width="43" style="7" bestFit="1" customWidth="1"/>
    <col min="7" max="7" width="13.25" style="7" bestFit="1" customWidth="1"/>
    <col min="8" max="16384" width="9" style="7"/>
  </cols>
  <sheetData>
    <row r="4" spans="2:7" ht="30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5" t="s">
        <v>5</v>
      </c>
    </row>
    <row r="5" spans="2:7">
      <c r="B5" s="3" t="s">
        <v>6</v>
      </c>
      <c r="C5" s="3" t="s">
        <v>7</v>
      </c>
      <c r="D5" s="6">
        <v>0.58333333333333337</v>
      </c>
      <c r="E5" s="6">
        <v>0.6875</v>
      </c>
      <c r="F5" s="3" t="s">
        <v>38</v>
      </c>
      <c r="G5" s="4">
        <f>Table3[[#This Row],[Time To]]-Table3[[#This Row],[Time From]]</f>
        <v>0.10416666666666663</v>
      </c>
    </row>
    <row r="6" spans="2:7">
      <c r="B6" s="3" t="s">
        <v>6</v>
      </c>
      <c r="C6" s="3" t="s">
        <v>7</v>
      </c>
      <c r="D6" s="6">
        <v>0.85416666666666663</v>
      </c>
      <c r="E6" s="6">
        <v>0.89583333333333337</v>
      </c>
      <c r="F6" s="3" t="s">
        <v>39</v>
      </c>
      <c r="G6" s="4">
        <f>Table3[[#This Row],[Time To]]-Table3[[#This Row],[Time From]]</f>
        <v>4.1666666666666741E-2</v>
      </c>
    </row>
    <row r="7" spans="2:7">
      <c r="B7" s="3" t="s">
        <v>9</v>
      </c>
      <c r="C7" s="3"/>
      <c r="D7" s="6"/>
      <c r="E7" s="6"/>
      <c r="F7" s="3"/>
      <c r="G7" s="4">
        <f>Table3[[#This Row],[Time To]]-Table3[[#This Row],[Time From]]</f>
        <v>0</v>
      </c>
    </row>
    <row r="8" spans="2:7">
      <c r="B8" s="3" t="s">
        <v>10</v>
      </c>
      <c r="C8" s="3"/>
      <c r="D8" s="6"/>
      <c r="E8" s="6"/>
      <c r="F8" s="3"/>
      <c r="G8" s="4">
        <f>Table3[[#This Row],[Time To]]-Table3[[#This Row],[Time From]]</f>
        <v>0</v>
      </c>
    </row>
    <row r="9" spans="2:7">
      <c r="B9" s="3" t="s">
        <v>11</v>
      </c>
      <c r="C9" s="3"/>
      <c r="D9" s="6"/>
      <c r="E9" s="6"/>
      <c r="F9" s="3"/>
      <c r="G9" s="4">
        <f>Table3[[#This Row],[Time To]]-Table3[[#This Row],[Time From]]</f>
        <v>0</v>
      </c>
    </row>
    <row r="10" spans="2:7">
      <c r="B10" s="3" t="s">
        <v>12</v>
      </c>
      <c r="C10" s="3" t="s">
        <v>16</v>
      </c>
      <c r="D10" s="6">
        <v>0.45833333333333331</v>
      </c>
      <c r="E10" s="6">
        <v>0.5</v>
      </c>
      <c r="F10" s="3" t="s">
        <v>40</v>
      </c>
      <c r="G10" s="4">
        <f>Table3[[#This Row],[Time To]]-Table3[[#This Row],[Time From]]</f>
        <v>4.1666666666666685E-2</v>
      </c>
    </row>
    <row r="11" spans="2:7">
      <c r="B11" s="3"/>
      <c r="C11" s="3"/>
      <c r="D11" s="3"/>
      <c r="E11" s="3"/>
      <c r="F11" s="3"/>
    </row>
    <row r="14" spans="2:7" ht="45">
      <c r="B14" s="3" t="s">
        <v>0</v>
      </c>
      <c r="C14" s="5" t="s">
        <v>31</v>
      </c>
      <c r="E14" s="3" t="s">
        <v>32</v>
      </c>
      <c r="F14" s="3" t="s">
        <v>33</v>
      </c>
    </row>
    <row r="15" spans="2:7">
      <c r="B15" s="3" t="s">
        <v>6</v>
      </c>
      <c r="C15" s="4">
        <f>SUMIF(Table3[Name],Table911[[#This Row],[Name]],Table3[Working Hours])</f>
        <v>0.14583333333333337</v>
      </c>
      <c r="E15" s="3">
        <v>1</v>
      </c>
      <c r="F15" s="8" t="s">
        <v>34</v>
      </c>
    </row>
    <row r="16" spans="2:7">
      <c r="B16" s="3" t="s">
        <v>9</v>
      </c>
      <c r="C16" s="4">
        <f>SUMIF(Table3[Name],Table911[[#This Row],[Name]],Table3[Working Hours])</f>
        <v>0</v>
      </c>
      <c r="E16" s="3">
        <v>2</v>
      </c>
      <c r="F16" s="8" t="s">
        <v>35</v>
      </c>
    </row>
    <row r="17" spans="2:6">
      <c r="B17" s="3" t="s">
        <v>10</v>
      </c>
      <c r="C17" s="4">
        <f>SUMIF(Table3[Name],Table911[[#This Row],[Name]],Table3[Working Hours])</f>
        <v>0</v>
      </c>
      <c r="E17" s="3">
        <v>3</v>
      </c>
      <c r="F17" s="8" t="s">
        <v>36</v>
      </c>
    </row>
    <row r="18" spans="2:6" ht="30">
      <c r="B18" s="3" t="s">
        <v>11</v>
      </c>
      <c r="C18" s="4">
        <f>SUMIF(Table3[Name],Table911[[#This Row],[Name]],Table3[Working Hours])</f>
        <v>0</v>
      </c>
      <c r="E18" s="3">
        <v>4</v>
      </c>
      <c r="F18" s="9" t="s">
        <v>37</v>
      </c>
    </row>
    <row r="19" spans="2:6">
      <c r="B19" s="3" t="s">
        <v>12</v>
      </c>
      <c r="C19" s="4">
        <f>SUMIF(Table3[Name],Table911[[#This Row],[Name]],Table3[Working Hours])</f>
        <v>4.1666666666666685E-2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1B17-68E4-46D9-B1CE-9178E162A047}">
  <dimension ref="B4:K19"/>
  <sheetViews>
    <sheetView workbookViewId="0">
      <selection activeCell="F12" sqref="F12"/>
    </sheetView>
  </sheetViews>
  <sheetFormatPr defaultRowHeight="15"/>
  <cols>
    <col min="1" max="1" width="9" style="7"/>
    <col min="2" max="2" width="12.5" style="7" customWidth="1"/>
    <col min="3" max="3" width="11.875" style="7" customWidth="1"/>
    <col min="4" max="5" width="13.625" style="7" customWidth="1"/>
    <col min="6" max="6" width="35.625" style="7" customWidth="1"/>
    <col min="7" max="7" width="13.25" style="7" bestFit="1" customWidth="1"/>
    <col min="8" max="16384" width="9" style="7"/>
  </cols>
  <sheetData>
    <row r="4" spans="2:11" ht="30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5" t="s">
        <v>5</v>
      </c>
    </row>
    <row r="5" spans="2:11">
      <c r="B5" s="3" t="s">
        <v>6</v>
      </c>
      <c r="C5" s="3"/>
      <c r="D5" s="6"/>
      <c r="E5" s="6"/>
      <c r="F5" s="3"/>
      <c r="G5" s="4">
        <f>Table37[[#This Row],[Time To]]-Table37[[#This Row],[Time From]]</f>
        <v>0</v>
      </c>
    </row>
    <row r="6" spans="2:11">
      <c r="B6" s="3" t="s">
        <v>9</v>
      </c>
      <c r="C6" s="3"/>
      <c r="D6" s="6"/>
      <c r="E6" s="6"/>
      <c r="F6" s="3"/>
      <c r="G6" s="4">
        <f>Table37[[#This Row],[Time To]]-Table37[[#This Row],[Time From]]</f>
        <v>0</v>
      </c>
    </row>
    <row r="7" spans="2:11">
      <c r="B7" s="3" t="s">
        <v>10</v>
      </c>
      <c r="C7" s="3" t="s">
        <v>16</v>
      </c>
      <c r="D7" s="6">
        <v>0.54166666666666663</v>
      </c>
      <c r="E7" s="6">
        <v>0.58333333333333337</v>
      </c>
      <c r="F7" s="3" t="s">
        <v>41</v>
      </c>
      <c r="G7" s="4">
        <f>Table37[[#This Row],[Time To]]-Table37[[#This Row],[Time From]]</f>
        <v>4.1666666666666741E-2</v>
      </c>
      <c r="H7" s="3"/>
      <c r="I7" s="3"/>
      <c r="J7" s="3"/>
      <c r="K7" s="3"/>
    </row>
    <row r="8" spans="2:11">
      <c r="B8" s="3" t="s">
        <v>11</v>
      </c>
      <c r="C8" s="3" t="s">
        <v>42</v>
      </c>
      <c r="D8" s="6">
        <v>0.625</v>
      </c>
      <c r="E8" s="6">
        <v>0.64583333333333337</v>
      </c>
      <c r="F8" s="3" t="s">
        <v>43</v>
      </c>
      <c r="G8" s="4">
        <f>Table37[[#This Row],[Time To]]-Table37[[#This Row],[Time From]]</f>
        <v>2.083333333333337E-2</v>
      </c>
      <c r="H8" s="6"/>
      <c r="I8" s="6"/>
      <c r="J8" s="3"/>
      <c r="K8" s="4"/>
    </row>
    <row r="9" spans="2:11">
      <c r="B9" s="3" t="s">
        <v>12</v>
      </c>
      <c r="C9" s="3" t="s">
        <v>16</v>
      </c>
      <c r="D9" s="6">
        <v>0.54166666666666663</v>
      </c>
      <c r="E9" s="6">
        <v>0.6875</v>
      </c>
      <c r="F9" s="3" t="s">
        <v>41</v>
      </c>
      <c r="G9" s="4">
        <f>Table37[[#This Row],[Time To]]-Table37[[#This Row],[Time From]]</f>
        <v>0.14583333333333337</v>
      </c>
      <c r="H9" s="6"/>
      <c r="I9" s="6"/>
      <c r="J9" s="3"/>
      <c r="K9" s="4"/>
    </row>
    <row r="10" spans="2:11">
      <c r="F10" s="3"/>
      <c r="G10" s="3"/>
      <c r="H10" s="6"/>
      <c r="I10" s="6"/>
      <c r="J10" s="3"/>
      <c r="K10" s="4"/>
    </row>
    <row r="11" spans="2:11">
      <c r="F11" s="3"/>
      <c r="G11" s="3"/>
      <c r="H11" s="6"/>
      <c r="I11" s="6"/>
      <c r="J11" s="3"/>
      <c r="K11" s="4"/>
    </row>
    <row r="12" spans="2:11">
      <c r="F12" s="3"/>
      <c r="G12" s="3"/>
      <c r="H12" s="6"/>
      <c r="I12" s="6"/>
      <c r="J12" s="3"/>
      <c r="K12" s="4"/>
    </row>
    <row r="14" spans="2:11" ht="45">
      <c r="B14" s="3" t="s">
        <v>0</v>
      </c>
      <c r="C14" s="5" t="s">
        <v>31</v>
      </c>
      <c r="E14" s="3" t="s">
        <v>32</v>
      </c>
      <c r="F14" s="3" t="s">
        <v>33</v>
      </c>
    </row>
    <row r="15" spans="2:11">
      <c r="B15" s="3" t="s">
        <v>6</v>
      </c>
      <c r="C15" s="4">
        <f>SUMIF(Table37[Name],Table91112[[#This Row],[Name]],Table37[Working Hours])</f>
        <v>0</v>
      </c>
      <c r="E15" s="3">
        <v>1</v>
      </c>
      <c r="F15" s="8" t="s">
        <v>34</v>
      </c>
    </row>
    <row r="16" spans="2:11">
      <c r="B16" s="3" t="s">
        <v>9</v>
      </c>
      <c r="C16" s="4">
        <f>SUMIF(Table37[Name],Table91112[[#This Row],[Name]],Table37[Working Hours])</f>
        <v>0</v>
      </c>
      <c r="E16" s="3">
        <v>2</v>
      </c>
      <c r="F16" s="8" t="s">
        <v>35</v>
      </c>
    </row>
    <row r="17" spans="2:6">
      <c r="B17" s="3" t="s">
        <v>10</v>
      </c>
      <c r="C17" s="4">
        <f>SUMIF(Table37[Name],Table91112[[#This Row],[Name]],Table37[Working Hours])</f>
        <v>4.1666666666666741E-2</v>
      </c>
      <c r="E17" s="3">
        <v>3</v>
      </c>
      <c r="F17" s="8" t="s">
        <v>36</v>
      </c>
    </row>
    <row r="18" spans="2:6" ht="30">
      <c r="B18" s="3" t="s">
        <v>11</v>
      </c>
      <c r="C18" s="4">
        <f>SUMIF(Table37[Name],Table91112[[#This Row],[Name]],Table37[Working Hours])</f>
        <v>2.083333333333337E-2</v>
      </c>
      <c r="E18" s="3">
        <v>4</v>
      </c>
      <c r="F18" s="9" t="s">
        <v>37</v>
      </c>
    </row>
    <row r="19" spans="2:6">
      <c r="B19" s="3" t="s">
        <v>12</v>
      </c>
      <c r="C19" s="4">
        <f>SUMIF(Table37[Name],Table91112[[#This Row],[Name]],Table37[Working Hours])</f>
        <v>0.14583333333333337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70A4-5132-4F45-9DCD-4631CF8CD6B4}">
  <dimension ref="B4:G19"/>
  <sheetViews>
    <sheetView workbookViewId="0">
      <selection activeCell="C9" sqref="C9:E9"/>
    </sheetView>
  </sheetViews>
  <sheetFormatPr defaultRowHeight="15"/>
  <cols>
    <col min="1" max="1" width="9" style="7"/>
    <col min="2" max="2" width="12.5" style="7" customWidth="1"/>
    <col min="3" max="3" width="11.875" style="7" customWidth="1"/>
    <col min="4" max="5" width="13.625" style="7" customWidth="1"/>
    <col min="6" max="6" width="35.625" style="7" customWidth="1"/>
    <col min="7" max="7" width="13.25" style="7" bestFit="1" customWidth="1"/>
    <col min="8" max="16384" width="9" style="7"/>
  </cols>
  <sheetData>
    <row r="4" spans="2:7" ht="30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5" t="s">
        <v>5</v>
      </c>
    </row>
    <row r="5" spans="2:7">
      <c r="B5" s="3" t="s">
        <v>6</v>
      </c>
      <c r="C5" s="3"/>
      <c r="D5" s="6"/>
      <c r="E5" s="6"/>
      <c r="F5" s="3"/>
      <c r="G5" s="4">
        <f>Table38[[#This Row],[Time To]]-Table38[[#This Row],[Time From]]</f>
        <v>0</v>
      </c>
    </row>
    <row r="6" spans="2:7">
      <c r="B6" s="3" t="s">
        <v>9</v>
      </c>
      <c r="C6" s="3"/>
      <c r="D6" s="6"/>
      <c r="E6" s="6"/>
      <c r="F6" s="3"/>
      <c r="G6" s="4">
        <f>Table38[[#This Row],[Time To]]-Table38[[#This Row],[Time From]]</f>
        <v>0</v>
      </c>
    </row>
    <row r="7" spans="2:7">
      <c r="B7" s="3" t="s">
        <v>10</v>
      </c>
      <c r="C7" s="3"/>
      <c r="D7" s="6"/>
      <c r="E7" s="6"/>
      <c r="F7" s="3"/>
      <c r="G7" s="4">
        <f>Table38[[#This Row],[Time To]]-Table38[[#This Row],[Time From]]</f>
        <v>0</v>
      </c>
    </row>
    <row r="8" spans="2:7">
      <c r="B8" s="3" t="s">
        <v>11</v>
      </c>
      <c r="C8" s="3"/>
      <c r="D8" s="6"/>
      <c r="E8" s="6"/>
      <c r="F8" s="3"/>
      <c r="G8" s="4">
        <f>Table38[[#This Row],[Time To]]-Table38[[#This Row],[Time From]]</f>
        <v>0</v>
      </c>
    </row>
    <row r="9" spans="2:7">
      <c r="B9" s="3" t="s">
        <v>12</v>
      </c>
      <c r="C9" s="3" t="s">
        <v>16</v>
      </c>
      <c r="D9" s="6">
        <v>0.79166666666666663</v>
      </c>
      <c r="E9" s="6">
        <v>0.83333333333333337</v>
      </c>
      <c r="F9" s="3"/>
      <c r="G9" s="4">
        <f>Table38[[#This Row],[Time To]]-Table38[[#This Row],[Time From]]</f>
        <v>4.1666666666666741E-2</v>
      </c>
    </row>
    <row r="14" spans="2:7" ht="45">
      <c r="B14" s="3" t="s">
        <v>0</v>
      </c>
      <c r="C14" s="5" t="s">
        <v>31</v>
      </c>
      <c r="E14" s="3" t="s">
        <v>32</v>
      </c>
      <c r="F14" s="3" t="s">
        <v>33</v>
      </c>
    </row>
    <row r="15" spans="2:7">
      <c r="B15" s="3" t="s">
        <v>6</v>
      </c>
      <c r="C15" s="4">
        <f>SUMIF(Table38[Name],Table91113[[#This Row],[Name]],Table38[Working Hours])</f>
        <v>0</v>
      </c>
      <c r="E15" s="3">
        <v>1</v>
      </c>
      <c r="F15" s="8" t="s">
        <v>34</v>
      </c>
    </row>
    <row r="16" spans="2:7">
      <c r="B16" s="3" t="s">
        <v>9</v>
      </c>
      <c r="C16" s="4">
        <f>SUMIF(Table38[Name],Table91113[[#This Row],[Name]],Table38[Working Hours])</f>
        <v>0</v>
      </c>
      <c r="E16" s="3">
        <v>2</v>
      </c>
      <c r="F16" s="8" t="s">
        <v>35</v>
      </c>
    </row>
    <row r="17" spans="2:6">
      <c r="B17" s="3" t="s">
        <v>10</v>
      </c>
      <c r="C17" s="4">
        <f>SUMIF(Table38[Name],Table91113[[#This Row],[Name]],Table38[Working Hours])</f>
        <v>0</v>
      </c>
      <c r="E17" s="3">
        <v>3</v>
      </c>
      <c r="F17" s="8" t="s">
        <v>36</v>
      </c>
    </row>
    <row r="18" spans="2:6" ht="30">
      <c r="B18" s="3" t="s">
        <v>11</v>
      </c>
      <c r="C18" s="4">
        <f>SUMIF(Table38[Name],Table91113[[#This Row],[Name]],Table38[Working Hours])</f>
        <v>0</v>
      </c>
      <c r="E18" s="3">
        <v>4</v>
      </c>
      <c r="F18" s="9" t="s">
        <v>37</v>
      </c>
    </row>
    <row r="19" spans="2:6">
      <c r="B19" s="3" t="s">
        <v>12</v>
      </c>
      <c r="C19" s="4">
        <f>SUMIF(Table38[Name],Table91113[[#This Row],[Name]],Table38[Working Hours])</f>
        <v>4.1666666666666741E-2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BB49-3BF7-4862-B0D6-7C4FADBC54D2}">
  <dimension ref="B4:G10"/>
  <sheetViews>
    <sheetView tabSelected="1" topLeftCell="A3" workbookViewId="0">
      <selection activeCell="G5" sqref="G5"/>
    </sheetView>
  </sheetViews>
  <sheetFormatPr defaultRowHeight="15"/>
  <cols>
    <col min="1" max="1" width="9" style="7"/>
    <col min="2" max="2" width="12.125" style="7" bestFit="1" customWidth="1"/>
    <col min="3" max="7" width="15.625" style="7" customWidth="1"/>
    <col min="8" max="16384" width="9" style="7"/>
  </cols>
  <sheetData>
    <row r="4" spans="2:7" ht="30" customHeight="1">
      <c r="B4" s="1" t="s">
        <v>0</v>
      </c>
      <c r="C4" s="1" t="s">
        <v>44</v>
      </c>
      <c r="D4" s="1" t="s">
        <v>45</v>
      </c>
      <c r="E4" s="1" t="s">
        <v>46</v>
      </c>
      <c r="F4" s="1" t="s">
        <v>47</v>
      </c>
      <c r="G4" s="2" t="s">
        <v>48</v>
      </c>
    </row>
    <row r="5" spans="2:7" ht="30.75" customHeight="1">
      <c r="B5" s="3" t="s">
        <v>6</v>
      </c>
      <c r="C5" s="4">
        <f>Website!C25</f>
        <v>0.52083333333333315</v>
      </c>
      <c r="D5" s="4">
        <f>Excel!C15</f>
        <v>0.14583333333333337</v>
      </c>
      <c r="E5" s="4">
        <f>'Visio-Word'!C15</f>
        <v>0</v>
      </c>
      <c r="F5" s="4">
        <f>PowerPoint!C15</f>
        <v>0</v>
      </c>
      <c r="G5" s="4">
        <f>SUM(Table8[[#This Row],[Website]:[PowerPoint]])</f>
        <v>0.66666666666666652</v>
      </c>
    </row>
    <row r="6" spans="2:7" ht="30.75" customHeight="1">
      <c r="B6" s="3" t="s">
        <v>9</v>
      </c>
      <c r="C6" s="4">
        <f>Website!C26</f>
        <v>0.27083333333333326</v>
      </c>
      <c r="D6" s="4">
        <f>Excel!C16</f>
        <v>0</v>
      </c>
      <c r="E6" s="4">
        <f>'Visio-Word'!C16</f>
        <v>0</v>
      </c>
      <c r="F6" s="4">
        <f>PowerPoint!C16</f>
        <v>0</v>
      </c>
      <c r="G6" s="4">
        <f>SUM(Table8[[#This Row],[Website]:[PowerPoint]])</f>
        <v>0.27083333333333326</v>
      </c>
    </row>
    <row r="7" spans="2:7" ht="30.75" customHeight="1">
      <c r="B7" s="3" t="s">
        <v>10</v>
      </c>
      <c r="C7" s="4">
        <f>Website!C27</f>
        <v>0.27083333333333393</v>
      </c>
      <c r="D7" s="4">
        <f>Excel!C17</f>
        <v>0</v>
      </c>
      <c r="E7" s="4">
        <f>'Visio-Word'!C17</f>
        <v>4.1666666666666741E-2</v>
      </c>
      <c r="F7" s="4">
        <f>PowerPoint!C17</f>
        <v>0</v>
      </c>
      <c r="G7" s="4">
        <f>SUM(Table8[[#This Row],[Website]:[PowerPoint]])</f>
        <v>0.31250000000000067</v>
      </c>
    </row>
    <row r="8" spans="2:7" ht="30.75" customHeight="1">
      <c r="B8" s="3" t="s">
        <v>11</v>
      </c>
      <c r="C8" s="4">
        <f>Website!C28</f>
        <v>0.31250000000000056</v>
      </c>
      <c r="D8" s="4">
        <f>Excel!C18</f>
        <v>0</v>
      </c>
      <c r="E8" s="4">
        <f>'Visio-Word'!C18</f>
        <v>2.083333333333337E-2</v>
      </c>
      <c r="F8" s="4">
        <f>PowerPoint!C18</f>
        <v>0</v>
      </c>
      <c r="G8" s="4">
        <f>SUM(Table8[[#This Row],[Website]:[PowerPoint]])</f>
        <v>0.33333333333333393</v>
      </c>
    </row>
    <row r="9" spans="2:7" ht="30.75" customHeight="1">
      <c r="B9" s="3" t="s">
        <v>12</v>
      </c>
      <c r="C9" s="4">
        <f>Website!C29</f>
        <v>0.14583333333333365</v>
      </c>
      <c r="D9" s="4">
        <f>Excel!C19</f>
        <v>4.1666666666666685E-2</v>
      </c>
      <c r="E9" s="4">
        <f>'Visio-Word'!C19</f>
        <v>0.14583333333333337</v>
      </c>
      <c r="F9" s="4">
        <f>PowerPoint!C19</f>
        <v>4.1666666666666741E-2</v>
      </c>
      <c r="G9" s="4">
        <f>SUM(Table8[[#This Row],[Website]:[PowerPoint]])</f>
        <v>0.37500000000000044</v>
      </c>
    </row>
    <row r="10" spans="2:7" ht="30.75" customHeight="1">
      <c r="B10" s="5" t="s">
        <v>49</v>
      </c>
      <c r="C10" s="4">
        <f>SUM(C5:C9)</f>
        <v>1.5208333333333346</v>
      </c>
      <c r="D10" s="4">
        <f t="shared" ref="D10:F10" si="0">SUM(D5:D9)</f>
        <v>0.18750000000000006</v>
      </c>
      <c r="E10" s="4">
        <f t="shared" si="0"/>
        <v>0.20833333333333348</v>
      </c>
      <c r="F10" s="4">
        <f t="shared" si="0"/>
        <v>4.1666666666666741E-2</v>
      </c>
      <c r="G10" s="4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0FCD231D9394688352540BD555F0F" ma:contentTypeVersion="9" ma:contentTypeDescription="Create a new document." ma:contentTypeScope="" ma:versionID="451466f3a12d182e8881625d1d2dc77d">
  <xsd:schema xmlns:xsd="http://www.w3.org/2001/XMLSchema" xmlns:xs="http://www.w3.org/2001/XMLSchema" xmlns:p="http://schemas.microsoft.com/office/2006/metadata/properties" xmlns:ns2="0e3fd812-2ab5-4985-b2b3-5eebe32c7fb7" targetNamespace="http://schemas.microsoft.com/office/2006/metadata/properties" ma:root="true" ma:fieldsID="a47df1f7e63f3324451988527b28262b" ns2:_="">
    <xsd:import namespace="0e3fd812-2ab5-4985-b2b3-5eebe32c7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fd812-2ab5-4985-b2b3-5eebe32c7f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CC9794-90A8-409A-9716-75026B5F0ED6}"/>
</file>

<file path=customXml/itemProps2.xml><?xml version="1.0" encoding="utf-8"?>
<ds:datastoreItem xmlns:ds="http://schemas.openxmlformats.org/officeDocument/2006/customXml" ds:itemID="{E15D3D77-361B-493D-964D-DE162056D79D}"/>
</file>

<file path=customXml/itemProps3.xml><?xml version="1.0" encoding="utf-8"?>
<ds:datastoreItem xmlns:ds="http://schemas.openxmlformats.org/officeDocument/2006/customXml" ds:itemID="{3A704238-D7D7-42A0-A256-8D1423F41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Jingyu An</dc:creator>
  <cp:keywords/>
  <dc:description/>
  <cp:lastModifiedBy>An, Jingyu</cp:lastModifiedBy>
  <cp:revision/>
  <dcterms:created xsi:type="dcterms:W3CDTF">2022-04-25T18:09:04Z</dcterms:created>
  <dcterms:modified xsi:type="dcterms:W3CDTF">2022-04-27T01:06:39Z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0x0101007890FCD231D9394688352540BD555F0F</vt:lpwstr>
  </property>
</Properties>
</file>